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sta\Desktop\Scraping com excel\"/>
    </mc:Choice>
  </mc:AlternateContent>
  <bookViews>
    <workbookView xWindow="0" yWindow="0" windowWidth="20490" windowHeight="7155" activeTab="3"/>
  </bookViews>
  <sheets>
    <sheet name="HOME" sheetId="4" r:id="rId1"/>
    <sheet name="Inicial" sheetId="1" r:id="rId2"/>
    <sheet name="Resultados" sheetId="5" r:id="rId3"/>
    <sheet name="Raw" sheetId="2" r:id="rId4"/>
  </sheets>
  <definedNames>
    <definedName name="_xlnm._FilterDatabase" localSheetId="3" hidden="1">Raw!$D$4:$AF$4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2" i="2" l="1"/>
  <c r="AF18" i="2"/>
  <c r="AF6" i="2"/>
  <c r="AF10" i="2"/>
  <c r="AF40" i="2"/>
  <c r="AF13" i="2"/>
  <c r="AF23" i="2"/>
  <c r="AF9" i="2"/>
  <c r="AF7" i="2"/>
  <c r="AF8" i="2"/>
  <c r="AF14" i="2"/>
  <c r="AF27" i="2"/>
  <c r="AF43" i="2"/>
  <c r="AF45" i="2"/>
  <c r="AF5" i="2"/>
  <c r="AF15" i="2"/>
  <c r="AF53" i="2"/>
  <c r="AF54" i="2"/>
  <c r="AF49" i="2"/>
  <c r="AF33" i="2"/>
  <c r="AF37" i="2"/>
  <c r="AF52" i="2"/>
  <c r="AF32" i="2"/>
  <c r="AF19" i="2"/>
  <c r="AF46" i="2"/>
  <c r="AF56" i="2"/>
  <c r="AF58" i="2"/>
  <c r="AF24" i="2"/>
  <c r="AF41" i="2"/>
  <c r="AF50" i="2"/>
  <c r="AF25" i="2"/>
  <c r="AF57" i="2"/>
  <c r="AF44" i="2"/>
  <c r="AF42" i="2"/>
  <c r="AF17" i="2"/>
  <c r="AF11" i="2"/>
  <c r="AF16" i="2"/>
  <c r="AF21" i="2"/>
  <c r="AF22" i="2"/>
  <c r="AF28" i="2"/>
  <c r="AF38" i="2"/>
  <c r="AF29" i="2"/>
  <c r="AF34" i="2"/>
  <c r="AF47" i="2"/>
  <c r="AF20" i="2"/>
  <c r="AF36" i="2"/>
  <c r="AF59" i="2"/>
  <c r="AF48" i="2"/>
  <c r="AF51" i="2"/>
  <c r="AF26" i="2"/>
  <c r="AF30" i="2"/>
  <c r="AF35" i="2"/>
  <c r="AF39" i="2"/>
  <c r="AF55" i="2"/>
  <c r="AF60" i="2"/>
  <c r="AF31" i="2"/>
</calcChain>
</file>

<file path=xl/sharedStrings.xml><?xml version="1.0" encoding="utf-8"?>
<sst xmlns="http://schemas.openxmlformats.org/spreadsheetml/2006/main" count="584" uniqueCount="187">
  <si>
    <t>BBPO11</t>
  </si>
  <si>
    <t>BCFF11</t>
  </si>
  <si>
    <t>BCRI11</t>
  </si>
  <si>
    <t>BRCO11</t>
  </si>
  <si>
    <t>BRCR11</t>
  </si>
  <si>
    <t>BTLG11</t>
  </si>
  <si>
    <t>CPTS11</t>
  </si>
  <si>
    <t>CVBI11</t>
  </si>
  <si>
    <t>DEVA11</t>
  </si>
  <si>
    <t>GGRC11</t>
  </si>
  <si>
    <t>GTWR11</t>
  </si>
  <si>
    <t>HABT11</t>
  </si>
  <si>
    <t>HCTR11</t>
  </si>
  <si>
    <t>HFOF11</t>
  </si>
  <si>
    <t>HGBS11</t>
  </si>
  <si>
    <t>HGCR11</t>
  </si>
  <si>
    <t>HGLG11</t>
  </si>
  <si>
    <t>HGRE11</t>
  </si>
  <si>
    <t>HGRU11</t>
  </si>
  <si>
    <t>HSML11</t>
  </si>
  <si>
    <t>IRDM11</t>
  </si>
  <si>
    <t>JSRE11</t>
  </si>
  <si>
    <t>KNCR11</t>
  </si>
  <si>
    <t>KNHY11</t>
  </si>
  <si>
    <t>KNIP11</t>
  </si>
  <si>
    <t>KNRI11</t>
  </si>
  <si>
    <t>KNSC11</t>
  </si>
  <si>
    <t>LVBI11</t>
  </si>
  <si>
    <t>MALL11</t>
  </si>
  <si>
    <t>MCCI11</t>
  </si>
  <si>
    <t>MGFF11</t>
  </si>
  <si>
    <t>MXRF11</t>
  </si>
  <si>
    <t>PVBI11</t>
  </si>
  <si>
    <t>RBRF11</t>
  </si>
  <si>
    <t>RBRL11</t>
  </si>
  <si>
    <t>RBRP11</t>
  </si>
  <si>
    <t>RBRR11</t>
  </si>
  <si>
    <t>RBVA11</t>
  </si>
  <si>
    <t>RECR11</t>
  </si>
  <si>
    <t>RECT11</t>
  </si>
  <si>
    <t>RZTR11</t>
  </si>
  <si>
    <t>SARE11</t>
  </si>
  <si>
    <t>TGAR11</t>
  </si>
  <si>
    <t>TRXF11</t>
  </si>
  <si>
    <t>VCJR11</t>
  </si>
  <si>
    <t>VGIP11</t>
  </si>
  <si>
    <t>VILG11</t>
  </si>
  <si>
    <t>VINO11</t>
  </si>
  <si>
    <t>VISC11</t>
  </si>
  <si>
    <t>VRTA11</t>
  </si>
  <si>
    <t>XPCI11</t>
  </si>
  <si>
    <t>XPIN11</t>
  </si>
  <si>
    <t>XPLG11</t>
  </si>
  <si>
    <t>XPML11</t>
  </si>
  <si>
    <t>Item:</t>
  </si>
  <si>
    <t>Nome</t>
  </si>
  <si>
    <t>Setor</t>
  </si>
  <si>
    <t>Preço Atual</t>
  </si>
  <si>
    <t>Liquidez Diária</t>
  </si>
  <si>
    <t>Dividendo</t>
  </si>
  <si>
    <t>Dividend Yield</t>
  </si>
  <si>
    <t>DY (3 meses) Acumulado</t>
  </si>
  <si>
    <t>DY (12 meses) Acumulado</t>
  </si>
  <si>
    <t>DY (6 meses) Acumulado</t>
  </si>
  <si>
    <t>DY (3 meses) Média</t>
  </si>
  <si>
    <t>DY (6 meses) Média</t>
  </si>
  <si>
    <t>DY (12 meses) Média</t>
  </si>
  <si>
    <t>DY ano (estranho)</t>
  </si>
  <si>
    <t>Variação de preço</t>
  </si>
  <si>
    <t>Rentabilidade no Período</t>
  </si>
  <si>
    <t>Rentabilidade Acumulada</t>
  </si>
  <si>
    <t>Patrimônio Líquido</t>
  </si>
  <si>
    <t>VPA</t>
  </si>
  <si>
    <t>P/VPA</t>
  </si>
  <si>
    <t>DY Patrimônial</t>
  </si>
  <si>
    <t>Variação Patrimonial</t>
  </si>
  <si>
    <t>Rentabilidade Patrimonial No Periodo</t>
  </si>
  <si>
    <t>Rentabilidade Patrimonial No Acumulada</t>
  </si>
  <si>
    <t>Vacância Fisica</t>
  </si>
  <si>
    <t>Vacância Financeira</t>
  </si>
  <si>
    <t>Quantidade de Ativos</t>
  </si>
  <si>
    <t>Legenda</t>
  </si>
  <si>
    <t>Shoppings</t>
  </si>
  <si>
    <t>0,93%</t>
  </si>
  <si>
    <t>0,00%</t>
  </si>
  <si>
    <t>N/A</t>
  </si>
  <si>
    <t>Títulos e Val. Mob.</t>
  </si>
  <si>
    <t>Lajes Corporativas</t>
  </si>
  <si>
    <t>0,73%</t>
  </si>
  <si>
    <t>Logística</t>
  </si>
  <si>
    <t>0,62%</t>
  </si>
  <si>
    <t>Híbrido</t>
  </si>
  <si>
    <t>0,89%</t>
  </si>
  <si>
    <t>1,25%</t>
  </si>
  <si>
    <t>1,36%</t>
  </si>
  <si>
    <t>1,10%</t>
  </si>
  <si>
    <t>1,34%</t>
  </si>
  <si>
    <t>1,17%</t>
  </si>
  <si>
    <t>1,12%</t>
  </si>
  <si>
    <t>0,88%</t>
  </si>
  <si>
    <t>Outros</t>
  </si>
  <si>
    <t>0,70%</t>
  </si>
  <si>
    <t>0,75%</t>
  </si>
  <si>
    <t>1,16%</t>
  </si>
  <si>
    <t>0,51%</t>
  </si>
  <si>
    <t>0,56%</t>
  </si>
  <si>
    <t>0,57%</t>
  </si>
  <si>
    <t>0,81%</t>
  </si>
  <si>
    <t>0,66%</t>
  </si>
  <si>
    <t>1,03%</t>
  </si>
  <si>
    <t>0,58%</t>
  </si>
  <si>
    <t>0,61%</t>
  </si>
  <si>
    <t>0,71%</t>
  </si>
  <si>
    <t>27,30%</t>
  </si>
  <si>
    <t>21,20%</t>
  </si>
  <si>
    <t>0,53%</t>
  </si>
  <si>
    <t>0,69%</t>
  </si>
  <si>
    <t>2,00%</t>
  </si>
  <si>
    <t>1,11%</t>
  </si>
  <si>
    <t>12,00%</t>
  </si>
  <si>
    <t>1,40%</t>
  </si>
  <si>
    <t>0,46%</t>
  </si>
  <si>
    <t>1,32%</t>
  </si>
  <si>
    <t>4,00%</t>
  </si>
  <si>
    <t>0,59%</t>
  </si>
  <si>
    <t>1,01%</t>
  </si>
  <si>
    <t>0,64%</t>
  </si>
  <si>
    <t>1,39%</t>
  </si>
  <si>
    <t>7,40%</t>
  </si>
  <si>
    <t>1,20%</t>
  </si>
  <si>
    <t>0,55%</t>
  </si>
  <si>
    <t>6,70%</t>
  </si>
  <si>
    <t>1,22%</t>
  </si>
  <si>
    <t>4,20%</t>
  </si>
  <si>
    <t>2,07%</t>
  </si>
  <si>
    <t>6,80%</t>
  </si>
  <si>
    <t>1,29%</t>
  </si>
  <si>
    <t>6,40%</t>
  </si>
  <si>
    <t>0,42%</t>
  </si>
  <si>
    <t>0,10%</t>
  </si>
  <si>
    <t>17,30%</t>
  </si>
  <si>
    <t>9,00%</t>
  </si>
  <si>
    <t>Códigodo fundo</t>
  </si>
  <si>
    <t>DividendYield</t>
  </si>
  <si>
    <t>DY (3M)Acumulado</t>
  </si>
  <si>
    <t>DY (6M)Acumulado</t>
  </si>
  <si>
    <t>DY (12M)Acumulado</t>
  </si>
  <si>
    <t>DY (3M)Média</t>
  </si>
  <si>
    <t>DY (6M)Média</t>
  </si>
  <si>
    <t>DY (12M)Média</t>
  </si>
  <si>
    <t>DY Ano</t>
  </si>
  <si>
    <t>Variação Preço</t>
  </si>
  <si>
    <t>Rentab.Período</t>
  </si>
  <si>
    <t>Rentab.Acumulada</t>
  </si>
  <si>
    <t>PatrimônioLíq.</t>
  </si>
  <si>
    <t>DYPatrimonial</t>
  </si>
  <si>
    <t>VariaçãoPatrimonial</t>
  </si>
  <si>
    <t>Rentab. Patr.no Período</t>
  </si>
  <si>
    <t>Rentab. Patr.Acumulada</t>
  </si>
  <si>
    <t>VacânciaFísica</t>
  </si>
  <si>
    <t>VacânciaFinanceira</t>
  </si>
  <si>
    <t>QuantidadeAtivos</t>
  </si>
  <si>
    <t>26,48%</t>
  </si>
  <si>
    <t>29,71%</t>
  </si>
  <si>
    <t>13,80%</t>
  </si>
  <si>
    <t>12,40%</t>
  </si>
  <si>
    <t>16,40%</t>
  </si>
  <si>
    <t>liquidez</t>
  </si>
  <si>
    <t>Data da última atualização:</t>
  </si>
  <si>
    <t>Patrimonio Liquido Min.:</t>
  </si>
  <si>
    <t>ok</t>
  </si>
  <si>
    <t>DY</t>
  </si>
  <si>
    <t>Rs</t>
  </si>
  <si>
    <t>rs</t>
  </si>
  <si>
    <t>num</t>
  </si>
  <si>
    <t>%</t>
  </si>
  <si>
    <t>Liquidez</t>
  </si>
  <si>
    <t>0,50%</t>
  </si>
  <si>
    <t>0,28%</t>
  </si>
  <si>
    <t>HSLG11</t>
  </si>
  <si>
    <t>21,90%</t>
  </si>
  <si>
    <t>13,00%</t>
  </si>
  <si>
    <t>6,00%</t>
  </si>
  <si>
    <t>RCRB11</t>
  </si>
  <si>
    <t>Pont. DY</t>
  </si>
  <si>
    <t>Pont. P/VPA</t>
  </si>
  <si>
    <t>Pont.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</si>
</sst>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_-[$R$-416]\ * #,##0.00_-;\-[$R$-416]\ * #,##0.00_-;_-[$R$-416]\ * &quot;-&quot;??_-;_-@_-"/>
    <numFmt numFmtId="166" formatCode="&quot;R$&quot;\ #,##0.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0" fillId="0" borderId="0" xfId="0" applyFill="1" applyBorder="1"/>
    <xf numFmtId="0" fontId="0" fillId="0" borderId="0" xfId="0" applyFill="1"/>
    <xf numFmtId="0" fontId="1" fillId="2" borderId="0" xfId="0" applyFont="1" applyFill="1" applyBorder="1" applyAlignment="1">
      <alignment horizontal="left"/>
    </xf>
    <xf numFmtId="14" fontId="1" fillId="2" borderId="0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1</xdr:row>
      <xdr:rowOff>85725</xdr:rowOff>
    </xdr:from>
    <xdr:to>
      <xdr:col>15</xdr:col>
      <xdr:colOff>19050</xdr:colOff>
      <xdr:row>5</xdr:row>
      <xdr:rowOff>123825</xdr:rowOff>
    </xdr:to>
    <xdr:sp macro="" textlink="">
      <xdr:nvSpPr>
        <xdr:cNvPr id="2" name="Retângulo de cantos arredondados 1"/>
        <xdr:cNvSpPr/>
      </xdr:nvSpPr>
      <xdr:spPr>
        <a:xfrm>
          <a:off x="3305175" y="276225"/>
          <a:ext cx="5857875" cy="800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Analisador</a:t>
          </a:r>
          <a:r>
            <a:rPr lang="pt-BR" sz="2400" baseline="0"/>
            <a:t> de Fundos Imobiliários</a:t>
          </a:r>
          <a:endParaRPr lang="pt-BR" sz="3200"/>
        </a:p>
      </xdr:txBody>
    </xdr:sp>
    <xdr:clientData/>
  </xdr:twoCellAnchor>
  <xdr:twoCellAnchor>
    <xdr:from>
      <xdr:col>12</xdr:col>
      <xdr:colOff>390525</xdr:colOff>
      <xdr:row>5</xdr:row>
      <xdr:rowOff>133350</xdr:rowOff>
    </xdr:from>
    <xdr:to>
      <xdr:col>14</xdr:col>
      <xdr:colOff>514350</xdr:colOff>
      <xdr:row>6</xdr:row>
      <xdr:rowOff>133350</xdr:rowOff>
    </xdr:to>
    <xdr:sp macro="" textlink="">
      <xdr:nvSpPr>
        <xdr:cNvPr id="3" name="CaixaDeTexto 2"/>
        <xdr:cNvSpPr txBox="1"/>
      </xdr:nvSpPr>
      <xdr:spPr>
        <a:xfrm>
          <a:off x="7705725" y="1085850"/>
          <a:ext cx="1343025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/>
            <a:t>Fonte: Funds Explorer</a:t>
          </a:r>
          <a:endParaRPr lang="pt-BR" sz="1100"/>
        </a:p>
      </xdr:txBody>
    </xdr:sp>
    <xdr:clientData/>
  </xdr:twoCellAnchor>
  <xdr:twoCellAnchor>
    <xdr:from>
      <xdr:col>12</xdr:col>
      <xdr:colOff>38100</xdr:colOff>
      <xdr:row>8</xdr:row>
      <xdr:rowOff>66675</xdr:rowOff>
    </xdr:from>
    <xdr:to>
      <xdr:col>14</xdr:col>
      <xdr:colOff>581025</xdr:colOff>
      <xdr:row>10</xdr:row>
      <xdr:rowOff>161925</xdr:rowOff>
    </xdr:to>
    <xdr:sp macro="" textlink="">
      <xdr:nvSpPr>
        <xdr:cNvPr id="4" name="Retângulo de cantos arredondados 3"/>
        <xdr:cNvSpPr/>
      </xdr:nvSpPr>
      <xdr:spPr>
        <a:xfrm>
          <a:off x="7353300" y="1590675"/>
          <a:ext cx="1762125" cy="476250"/>
        </a:xfrm>
        <a:prstGeom prst="round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Filtra Fundos 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0</xdr:row>
      <xdr:rowOff>66675</xdr:rowOff>
    </xdr:from>
    <xdr:to>
      <xdr:col>4</xdr:col>
      <xdr:colOff>1019175</xdr:colOff>
      <xdr:row>2</xdr:row>
      <xdr:rowOff>123825</xdr:rowOff>
    </xdr:to>
    <xdr:sp macro="[0]!Scraping_Data.Scraping_Data" textlink="">
      <xdr:nvSpPr>
        <xdr:cNvPr id="3" name="Retângulo de cantos arredondados 2"/>
        <xdr:cNvSpPr/>
      </xdr:nvSpPr>
      <xdr:spPr>
        <a:xfrm>
          <a:off x="2190750" y="66675"/>
          <a:ext cx="1276350" cy="4381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Scraping!</a:t>
          </a:r>
        </a:p>
      </xdr:txBody>
    </xdr:sp>
    <xdr:clientData/>
  </xdr:twoCellAnchor>
  <xdr:twoCellAnchor>
    <xdr:from>
      <xdr:col>5</xdr:col>
      <xdr:colOff>647700</xdr:colOff>
      <xdr:row>0</xdr:row>
      <xdr:rowOff>57150</xdr:rowOff>
    </xdr:from>
    <xdr:to>
      <xdr:col>7</xdr:col>
      <xdr:colOff>323850</xdr:colOff>
      <xdr:row>2</xdr:row>
      <xdr:rowOff>114300</xdr:rowOff>
    </xdr:to>
    <xdr:sp macro="[0]!Main_Filtra_Especial" textlink="">
      <xdr:nvSpPr>
        <xdr:cNvPr id="2" name="Retângulo de cantos arredondados 1"/>
        <xdr:cNvSpPr/>
      </xdr:nvSpPr>
      <xdr:spPr>
        <a:xfrm>
          <a:off x="4267200" y="57150"/>
          <a:ext cx="140017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Filtra Dados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me"/>
  <dimension ref="G9:L12"/>
  <sheetViews>
    <sheetView workbookViewId="0">
      <selection activeCell="L16" sqref="I16:L17"/>
    </sheetView>
  </sheetViews>
  <sheetFormatPr defaultRowHeight="15" x14ac:dyDescent="0.25"/>
  <cols>
    <col min="1" max="16384" width="9.140625" style="4"/>
  </cols>
  <sheetData>
    <row r="9" spans="7:12" ht="15.75" x14ac:dyDescent="0.25">
      <c r="G9" s="7" t="s">
        <v>168</v>
      </c>
      <c r="H9" s="7"/>
      <c r="I9" s="7"/>
      <c r="J9" s="8">
        <v>44625</v>
      </c>
      <c r="K9" s="8"/>
    </row>
    <row r="10" spans="7:12" ht="15.75" x14ac:dyDescent="0.25">
      <c r="J10" s="9">
        <v>0.94201388888888893</v>
      </c>
      <c r="K10" s="9"/>
    </row>
    <row r="12" spans="7:12" ht="15.75" x14ac:dyDescent="0.25">
      <c r="G12" s="7" t="s">
        <v>169</v>
      </c>
      <c r="H12" s="7"/>
      <c r="I12" s="7"/>
      <c r="J12" s="10">
        <v>650000000</v>
      </c>
      <c r="K12" s="10"/>
      <c r="L12" s="10"/>
    </row>
  </sheetData>
  <mergeCells count="5">
    <mergeCell ref="G9:I9"/>
    <mergeCell ref="J9:K9"/>
    <mergeCell ref="G12:I12"/>
    <mergeCell ref="J10:K10"/>
    <mergeCell ref="J12:L1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al"/>
  <dimension ref="B1:E28"/>
  <sheetViews>
    <sheetView workbookViewId="0">
      <selection activeCell="H8" sqref="H8"/>
    </sheetView>
  </sheetViews>
  <sheetFormatPr defaultRowHeight="15" x14ac:dyDescent="0.25"/>
  <cols>
    <col min="4" max="4" width="38.42578125" bestFit="1" customWidth="1"/>
  </cols>
  <sheetData>
    <row r="1" spans="2:5" x14ac:dyDescent="0.25">
      <c r="D1" t="s">
        <v>81</v>
      </c>
    </row>
    <row r="3" spans="2:5" x14ac:dyDescent="0.25">
      <c r="B3" t="s">
        <v>54</v>
      </c>
      <c r="C3">
        <v>1</v>
      </c>
      <c r="D3" t="s">
        <v>55</v>
      </c>
      <c r="E3" t="s">
        <v>170</v>
      </c>
    </row>
    <row r="4" spans="2:5" x14ac:dyDescent="0.25">
      <c r="C4">
        <v>2</v>
      </c>
      <c r="D4" t="s">
        <v>56</v>
      </c>
      <c r="E4" t="s">
        <v>170</v>
      </c>
    </row>
    <row r="5" spans="2:5" x14ac:dyDescent="0.25">
      <c r="C5">
        <v>3</v>
      </c>
      <c r="D5" t="s">
        <v>57</v>
      </c>
      <c r="E5" t="s">
        <v>170</v>
      </c>
    </row>
    <row r="6" spans="2:5" x14ac:dyDescent="0.25">
      <c r="C6">
        <v>4</v>
      </c>
      <c r="D6" t="s">
        <v>58</v>
      </c>
      <c r="E6" t="s">
        <v>170</v>
      </c>
    </row>
    <row r="7" spans="2:5" x14ac:dyDescent="0.25">
      <c r="C7">
        <v>5</v>
      </c>
      <c r="D7" t="s">
        <v>59</v>
      </c>
      <c r="E7" t="s">
        <v>170</v>
      </c>
    </row>
    <row r="8" spans="2:5" x14ac:dyDescent="0.25">
      <c r="C8">
        <v>6</v>
      </c>
      <c r="D8" t="s">
        <v>60</v>
      </c>
      <c r="E8" t="s">
        <v>170</v>
      </c>
    </row>
    <row r="9" spans="2:5" x14ac:dyDescent="0.25">
      <c r="C9">
        <v>7</v>
      </c>
      <c r="D9" t="s">
        <v>61</v>
      </c>
      <c r="E9" t="s">
        <v>170</v>
      </c>
    </row>
    <row r="10" spans="2:5" x14ac:dyDescent="0.25">
      <c r="C10">
        <v>8</v>
      </c>
      <c r="D10" t="s">
        <v>63</v>
      </c>
      <c r="E10" t="s">
        <v>170</v>
      </c>
    </row>
    <row r="11" spans="2:5" x14ac:dyDescent="0.25">
      <c r="C11">
        <v>9</v>
      </c>
      <c r="D11" t="s">
        <v>62</v>
      </c>
      <c r="E11" t="s">
        <v>170</v>
      </c>
    </row>
    <row r="12" spans="2:5" x14ac:dyDescent="0.25">
      <c r="C12">
        <v>10</v>
      </c>
      <c r="D12" t="s">
        <v>64</v>
      </c>
      <c r="E12" t="s">
        <v>170</v>
      </c>
    </row>
    <row r="13" spans="2:5" x14ac:dyDescent="0.25">
      <c r="C13">
        <v>11</v>
      </c>
      <c r="D13" t="s">
        <v>65</v>
      </c>
      <c r="E13" t="s">
        <v>170</v>
      </c>
    </row>
    <row r="14" spans="2:5" x14ac:dyDescent="0.25">
      <c r="C14">
        <v>12</v>
      </c>
      <c r="D14" t="s">
        <v>66</v>
      </c>
      <c r="E14" t="s">
        <v>170</v>
      </c>
    </row>
    <row r="15" spans="2:5" x14ac:dyDescent="0.25">
      <c r="C15">
        <v>13</v>
      </c>
      <c r="D15" t="s">
        <v>67</v>
      </c>
      <c r="E15" t="s">
        <v>170</v>
      </c>
    </row>
    <row r="16" spans="2:5" x14ac:dyDescent="0.25">
      <c r="C16">
        <v>14</v>
      </c>
      <c r="D16" t="s">
        <v>68</v>
      </c>
      <c r="E16" t="s">
        <v>170</v>
      </c>
    </row>
    <row r="17" spans="3:5" x14ac:dyDescent="0.25">
      <c r="C17">
        <v>15</v>
      </c>
      <c r="D17" t="s">
        <v>69</v>
      </c>
      <c r="E17" t="s">
        <v>170</v>
      </c>
    </row>
    <row r="18" spans="3:5" x14ac:dyDescent="0.25">
      <c r="C18">
        <v>16</v>
      </c>
      <c r="D18" t="s">
        <v>70</v>
      </c>
      <c r="E18" t="s">
        <v>170</v>
      </c>
    </row>
    <row r="19" spans="3:5" x14ac:dyDescent="0.25">
      <c r="C19">
        <v>17</v>
      </c>
      <c r="D19" t="s">
        <v>71</v>
      </c>
      <c r="E19" t="s">
        <v>170</v>
      </c>
    </row>
    <row r="20" spans="3:5" x14ac:dyDescent="0.25">
      <c r="C20">
        <v>18</v>
      </c>
      <c r="D20" t="s">
        <v>72</v>
      </c>
      <c r="E20" t="s">
        <v>170</v>
      </c>
    </row>
    <row r="21" spans="3:5" x14ac:dyDescent="0.25">
      <c r="C21">
        <v>19</v>
      </c>
      <c r="D21" t="s">
        <v>73</v>
      </c>
      <c r="E21" t="s">
        <v>170</v>
      </c>
    </row>
    <row r="22" spans="3:5" x14ac:dyDescent="0.25">
      <c r="C22">
        <v>20</v>
      </c>
      <c r="D22" t="s">
        <v>74</v>
      </c>
      <c r="E22" t="s">
        <v>170</v>
      </c>
    </row>
    <row r="23" spans="3:5" x14ac:dyDescent="0.25">
      <c r="C23">
        <v>21</v>
      </c>
      <c r="D23" t="s">
        <v>75</v>
      </c>
      <c r="E23" t="s">
        <v>170</v>
      </c>
    </row>
    <row r="24" spans="3:5" x14ac:dyDescent="0.25">
      <c r="C24">
        <v>22</v>
      </c>
      <c r="D24" t="s">
        <v>76</v>
      </c>
      <c r="E24" t="s">
        <v>170</v>
      </c>
    </row>
    <row r="25" spans="3:5" x14ac:dyDescent="0.25">
      <c r="C25">
        <v>23</v>
      </c>
      <c r="D25" t="s">
        <v>77</v>
      </c>
      <c r="E25" t="s">
        <v>170</v>
      </c>
    </row>
    <row r="26" spans="3:5" x14ac:dyDescent="0.25">
      <c r="C26">
        <v>24</v>
      </c>
      <c r="D26" t="s">
        <v>78</v>
      </c>
      <c r="E26" t="s">
        <v>170</v>
      </c>
    </row>
    <row r="27" spans="3:5" x14ac:dyDescent="0.25">
      <c r="C27">
        <v>25</v>
      </c>
      <c r="D27" t="s">
        <v>79</v>
      </c>
      <c r="E27" t="s">
        <v>170</v>
      </c>
    </row>
    <row r="28" spans="3:5" x14ac:dyDescent="0.25">
      <c r="C28">
        <v>26</v>
      </c>
      <c r="D28" t="s">
        <v>80</v>
      </c>
      <c r="E28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5:AB6"/>
  <sheetViews>
    <sheetView workbookViewId="0">
      <selection activeCell="E11" sqref="E11"/>
    </sheetView>
  </sheetViews>
  <sheetFormatPr defaultRowHeight="15" x14ac:dyDescent="0.25"/>
  <cols>
    <col min="1" max="2" width="9.140625" style="6"/>
    <col min="3" max="3" width="6.42578125" style="6" bestFit="1" customWidth="1"/>
    <col min="4" max="4" width="5.7109375" style="6" bestFit="1" customWidth="1"/>
    <col min="5" max="5" width="11.140625" style="6" bestFit="1" customWidth="1"/>
    <col min="6" max="6" width="4.7109375" style="6" bestFit="1" customWidth="1"/>
    <col min="7" max="7" width="6.7109375" style="6" bestFit="1" customWidth="1"/>
    <col min="8" max="8" width="10.140625" style="6" bestFit="1" customWidth="1"/>
    <col min="9" max="9" width="18" style="6" bestFit="1" customWidth="1"/>
    <col min="10" max="10" width="18" style="6" customWidth="1"/>
    <col min="11" max="11" width="3.28515625" style="6" bestFit="1" customWidth="1"/>
    <col min="12" max="13" width="23.140625" style="6" bestFit="1" customWidth="1"/>
    <col min="14" max="14" width="24.140625" style="6" bestFit="1" customWidth="1"/>
    <col min="15" max="16" width="18.5703125" style="6" bestFit="1" customWidth="1"/>
    <col min="17" max="17" width="19.5703125" style="6" bestFit="1" customWidth="1"/>
    <col min="18" max="19" width="16.85546875" style="6" bestFit="1" customWidth="1"/>
    <col min="20" max="20" width="23.85546875" style="6" bestFit="1" customWidth="1"/>
    <col min="21" max="21" width="24.140625" style="6" bestFit="1" customWidth="1"/>
    <col min="22" max="22" width="14.140625" style="6" bestFit="1" customWidth="1"/>
    <col min="23" max="23" width="19.5703125" style="6" bestFit="1" customWidth="1"/>
    <col min="24" max="24" width="35.42578125" style="6" bestFit="1" customWidth="1"/>
    <col min="25" max="25" width="38.42578125" style="6" bestFit="1" customWidth="1"/>
    <col min="26" max="26" width="14.140625" style="6" bestFit="1" customWidth="1"/>
    <col min="27" max="27" width="18.5703125" style="6" bestFit="1" customWidth="1"/>
    <col min="28" max="28" width="20.42578125" style="6" bestFit="1" customWidth="1"/>
    <col min="29" max="16384" width="9.140625" style="6"/>
  </cols>
  <sheetData>
    <row r="5" spans="3:28" x14ac:dyDescent="0.25">
      <c r="E5" s="6" t="s">
        <v>172</v>
      </c>
      <c r="F5" s="6" t="s">
        <v>173</v>
      </c>
      <c r="G5" s="6" t="s">
        <v>174</v>
      </c>
      <c r="H5" s="6" t="s">
        <v>173</v>
      </c>
      <c r="I5" s="6" t="s">
        <v>173</v>
      </c>
      <c r="J5" s="6" t="s">
        <v>174</v>
      </c>
      <c r="K5" s="6" t="s">
        <v>175</v>
      </c>
      <c r="L5" s="6" t="s">
        <v>175</v>
      </c>
      <c r="M5" s="6" t="s">
        <v>175</v>
      </c>
      <c r="N5" s="6" t="s">
        <v>175</v>
      </c>
      <c r="O5" s="6" t="s">
        <v>175</v>
      </c>
      <c r="P5" s="6" t="s">
        <v>175</v>
      </c>
      <c r="Q5" s="6" t="s">
        <v>175</v>
      </c>
      <c r="R5" s="6" t="s">
        <v>175</v>
      </c>
      <c r="S5" s="6" t="s">
        <v>175</v>
      </c>
      <c r="T5" s="6" t="s">
        <v>175</v>
      </c>
      <c r="U5" s="6" t="s">
        <v>175</v>
      </c>
      <c r="V5" s="6" t="s">
        <v>175</v>
      </c>
      <c r="W5" s="6" t="s">
        <v>175</v>
      </c>
      <c r="X5" s="6" t="s">
        <v>175</v>
      </c>
      <c r="Y5" s="6" t="s">
        <v>175</v>
      </c>
      <c r="Z5" s="6" t="s">
        <v>175</v>
      </c>
      <c r="AA5" s="6" t="s">
        <v>175</v>
      </c>
      <c r="AB5" s="6" t="s">
        <v>174</v>
      </c>
    </row>
    <row r="6" spans="3:28" x14ac:dyDescent="0.25">
      <c r="C6" s="5" t="s">
        <v>55</v>
      </c>
      <c r="D6" s="5" t="s">
        <v>56</v>
      </c>
      <c r="E6" s="5" t="s">
        <v>57</v>
      </c>
      <c r="F6" s="5" t="s">
        <v>72</v>
      </c>
      <c r="G6" s="5" t="s">
        <v>73</v>
      </c>
      <c r="H6" s="5" t="s">
        <v>59</v>
      </c>
      <c r="I6" t="s">
        <v>71</v>
      </c>
      <c r="J6" t="s">
        <v>176</v>
      </c>
      <c r="K6" s="5" t="s">
        <v>171</v>
      </c>
      <c r="L6" s="6" t="s">
        <v>61</v>
      </c>
      <c r="M6" s="6" t="s">
        <v>63</v>
      </c>
      <c r="N6" s="6" t="s">
        <v>62</v>
      </c>
      <c r="O6" s="6" t="s">
        <v>64</v>
      </c>
      <c r="P6" s="6" t="s">
        <v>65</v>
      </c>
      <c r="Q6" s="6" t="s">
        <v>66</v>
      </c>
      <c r="R6" s="6" t="s">
        <v>67</v>
      </c>
      <c r="S6" t="s">
        <v>68</v>
      </c>
      <c r="T6" t="s">
        <v>69</v>
      </c>
      <c r="U6" t="s">
        <v>70</v>
      </c>
      <c r="V6" t="s">
        <v>74</v>
      </c>
      <c r="W6" t="s">
        <v>75</v>
      </c>
      <c r="X6" t="s">
        <v>76</v>
      </c>
      <c r="Y6" t="s">
        <v>77</v>
      </c>
      <c r="Z6" t="s">
        <v>78</v>
      </c>
      <c r="AA6" t="s">
        <v>79</v>
      </c>
      <c r="AB6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"/>
  <dimension ref="A1:AF60"/>
  <sheetViews>
    <sheetView tabSelected="1" zoomScaleNormal="100" workbookViewId="0">
      <selection activeCell="B12" sqref="B12"/>
    </sheetView>
  </sheetViews>
  <sheetFormatPr defaultRowHeight="15" x14ac:dyDescent="0.25"/>
  <cols>
    <col min="4" max="4" width="17.28515625" customWidth="1"/>
    <col min="5" max="5" width="17.5703125" bestFit="1" customWidth="1"/>
    <col min="6" max="6" width="13.28515625" customWidth="1"/>
    <col min="7" max="7" width="16.140625" customWidth="1"/>
    <col min="8" max="8" width="12.28515625" customWidth="1"/>
    <col min="9" max="9" width="15.5703125" customWidth="1"/>
    <col min="10" max="11" width="23.140625" bestFit="1" customWidth="1"/>
    <col min="12" max="12" width="24.140625" bestFit="1" customWidth="1"/>
    <col min="13" max="14" width="18.5703125" bestFit="1" customWidth="1"/>
    <col min="15" max="15" width="19.5703125" bestFit="1" customWidth="1"/>
    <col min="16" max="17" width="16.85546875" bestFit="1" customWidth="1"/>
    <col min="18" max="18" width="23.85546875" bestFit="1" customWidth="1"/>
    <col min="19" max="19" width="24.140625" bestFit="1" customWidth="1"/>
    <col min="20" max="20" width="19.5703125" bestFit="1" customWidth="1"/>
    <col min="21" max="21" width="12.140625" bestFit="1" customWidth="1"/>
    <col min="22" max="22" width="8.85546875" customWidth="1"/>
    <col min="23" max="23" width="15.7109375" customWidth="1"/>
    <col min="24" max="24" width="21" customWidth="1"/>
    <col min="25" max="25" width="35.42578125" bestFit="1" customWidth="1"/>
    <col min="26" max="26" width="38.42578125" bestFit="1" customWidth="1"/>
    <col min="27" max="27" width="15.5703125" customWidth="1"/>
    <col min="28" max="28" width="20" customWidth="1"/>
    <col min="29" max="29" width="20.42578125" bestFit="1" customWidth="1"/>
    <col min="30" max="30" width="13.140625" customWidth="1"/>
    <col min="31" max="31" width="16.5703125" customWidth="1"/>
    <col min="32" max="32" width="17" customWidth="1"/>
  </cols>
  <sheetData>
    <row r="1" spans="1:32" x14ac:dyDescent="0.25">
      <c r="B1" s="1"/>
      <c r="T1" s="3"/>
    </row>
    <row r="2" spans="1:32" x14ac:dyDescent="0.25">
      <c r="B2" s="1"/>
      <c r="I2" s="2"/>
    </row>
    <row r="3" spans="1:32" x14ac:dyDescent="0.25">
      <c r="B3" s="1"/>
    </row>
    <row r="4" spans="1:32" x14ac:dyDescent="0.25">
      <c r="A4" t="s">
        <v>167</v>
      </c>
      <c r="D4" t="s">
        <v>142</v>
      </c>
      <c r="E4" t="s">
        <v>56</v>
      </c>
      <c r="F4" t="s">
        <v>57</v>
      </c>
      <c r="G4" t="s">
        <v>58</v>
      </c>
      <c r="H4" t="s">
        <v>59</v>
      </c>
      <c r="I4" t="s">
        <v>143</v>
      </c>
      <c r="J4" t="s">
        <v>144</v>
      </c>
      <c r="K4" t="s">
        <v>145</v>
      </c>
      <c r="L4" t="s">
        <v>146</v>
      </c>
      <c r="M4" t="s">
        <v>147</v>
      </c>
      <c r="N4" t="s">
        <v>148</v>
      </c>
      <c r="O4" t="s">
        <v>149</v>
      </c>
      <c r="P4" t="s">
        <v>150</v>
      </c>
      <c r="Q4" t="s">
        <v>151</v>
      </c>
      <c r="R4" t="s">
        <v>152</v>
      </c>
      <c r="S4" t="s">
        <v>153</v>
      </c>
      <c r="T4" t="s">
        <v>154</v>
      </c>
      <c r="U4" t="s">
        <v>72</v>
      </c>
      <c r="V4" t="s">
        <v>73</v>
      </c>
      <c r="W4" t="s">
        <v>155</v>
      </c>
      <c r="X4" t="s">
        <v>156</v>
      </c>
      <c r="Y4" t="s">
        <v>157</v>
      </c>
      <c r="Z4" t="s">
        <v>158</v>
      </c>
      <c r="AA4" t="s">
        <v>159</v>
      </c>
      <c r="AB4" t="s">
        <v>160</v>
      </c>
      <c r="AC4" t="s">
        <v>161</v>
      </c>
      <c r="AD4" t="s">
        <v>184</v>
      </c>
      <c r="AE4" t="s">
        <v>185</v>
      </c>
      <c r="AF4" t="s">
        <v>186</v>
      </c>
    </row>
    <row r="5" spans="1:32" x14ac:dyDescent="0.25">
      <c r="D5" t="s">
        <v>42</v>
      </c>
      <c r="E5" t="s">
        <v>100</v>
      </c>
      <c r="F5">
        <v>111.21</v>
      </c>
      <c r="G5">
        <v>22125</v>
      </c>
      <c r="H5">
        <v>1.22</v>
      </c>
      <c r="I5">
        <v>1.0900000000000001</v>
      </c>
      <c r="J5">
        <v>3.05</v>
      </c>
      <c r="K5">
        <v>5.94</v>
      </c>
      <c r="L5">
        <v>11.14</v>
      </c>
      <c r="M5">
        <v>1.02</v>
      </c>
      <c r="N5">
        <v>0.99</v>
      </c>
      <c r="O5">
        <v>0.93</v>
      </c>
      <c r="P5">
        <v>2.0299999999999998</v>
      </c>
      <c r="Q5">
        <v>-8.7200000000000006</v>
      </c>
      <c r="R5">
        <v>-7.73</v>
      </c>
      <c r="S5">
        <v>-6.86</v>
      </c>
      <c r="T5">
        <v>1489112733.4100001</v>
      </c>
      <c r="U5">
        <v>131.66999999999999</v>
      </c>
      <c r="V5">
        <v>0.84</v>
      </c>
      <c r="W5" t="s">
        <v>99</v>
      </c>
      <c r="X5" t="s">
        <v>84</v>
      </c>
      <c r="Y5" t="s">
        <v>99</v>
      </c>
      <c r="Z5" t="s">
        <v>99</v>
      </c>
      <c r="AA5" t="s">
        <v>85</v>
      </c>
      <c r="AB5" t="s">
        <v>85</v>
      </c>
      <c r="AC5">
        <v>0</v>
      </c>
      <c r="AD5">
        <v>11</v>
      </c>
      <c r="AE5">
        <v>16</v>
      </c>
      <c r="AF5">
        <f>AD5+AE5</f>
        <v>27</v>
      </c>
    </row>
    <row r="6" spans="1:32" x14ac:dyDescent="0.25">
      <c r="D6" t="s">
        <v>41</v>
      </c>
      <c r="E6" t="s">
        <v>91</v>
      </c>
      <c r="F6">
        <v>68.94</v>
      </c>
      <c r="G6">
        <v>13143</v>
      </c>
      <c r="H6">
        <v>0.62</v>
      </c>
      <c r="I6">
        <v>0.89</v>
      </c>
      <c r="J6">
        <v>2.68</v>
      </c>
      <c r="K6">
        <v>5.26</v>
      </c>
      <c r="L6">
        <v>9.17</v>
      </c>
      <c r="M6">
        <v>0.89</v>
      </c>
      <c r="N6">
        <v>0.88</v>
      </c>
      <c r="O6">
        <v>0.76</v>
      </c>
      <c r="P6">
        <v>1.76</v>
      </c>
      <c r="Q6">
        <v>-3.78</v>
      </c>
      <c r="R6">
        <v>-2.92</v>
      </c>
      <c r="S6">
        <v>-2.0699999999999998</v>
      </c>
      <c r="T6">
        <v>916067410.38</v>
      </c>
      <c r="U6">
        <v>99.2</v>
      </c>
      <c r="V6">
        <v>0.69</v>
      </c>
      <c r="W6" t="s">
        <v>126</v>
      </c>
      <c r="X6" t="s">
        <v>84</v>
      </c>
      <c r="Y6" t="s">
        <v>126</v>
      </c>
      <c r="Z6" t="s">
        <v>126</v>
      </c>
      <c r="AA6" t="s">
        <v>95</v>
      </c>
      <c r="AB6" t="s">
        <v>85</v>
      </c>
      <c r="AC6">
        <v>3</v>
      </c>
      <c r="AD6">
        <v>25</v>
      </c>
      <c r="AE6">
        <v>4</v>
      </c>
      <c r="AF6">
        <f>AD6+AE6</f>
        <v>29</v>
      </c>
    </row>
    <row r="7" spans="1:32" x14ac:dyDescent="0.25">
      <c r="D7" t="s">
        <v>10</v>
      </c>
      <c r="E7" t="s">
        <v>87</v>
      </c>
      <c r="F7">
        <v>78.2</v>
      </c>
      <c r="G7">
        <v>6144</v>
      </c>
      <c r="H7">
        <v>0.74</v>
      </c>
      <c r="I7">
        <v>0.91</v>
      </c>
      <c r="J7">
        <v>2.62</v>
      </c>
      <c r="K7">
        <v>5.15</v>
      </c>
      <c r="L7">
        <v>9.0500000000000007</v>
      </c>
      <c r="M7">
        <v>0.87</v>
      </c>
      <c r="N7">
        <v>0.86</v>
      </c>
      <c r="O7">
        <v>0.75</v>
      </c>
      <c r="P7">
        <v>1.79</v>
      </c>
      <c r="Q7">
        <v>-3.97</v>
      </c>
      <c r="R7">
        <v>-3.09</v>
      </c>
      <c r="S7">
        <v>-2.2400000000000002</v>
      </c>
      <c r="T7">
        <v>1182184346.8099999</v>
      </c>
      <c r="U7">
        <v>98.52</v>
      </c>
      <c r="V7">
        <v>0.79</v>
      </c>
      <c r="W7" t="s">
        <v>102</v>
      </c>
      <c r="X7" t="s">
        <v>84</v>
      </c>
      <c r="Y7" t="s">
        <v>102</v>
      </c>
      <c r="Z7" t="s">
        <v>102</v>
      </c>
      <c r="AA7" t="s">
        <v>84</v>
      </c>
      <c r="AB7" t="s">
        <v>84</v>
      </c>
      <c r="AC7">
        <v>1</v>
      </c>
      <c r="AD7">
        <v>24</v>
      </c>
      <c r="AE7">
        <v>10</v>
      </c>
      <c r="AF7">
        <f>AD7+AE7</f>
        <v>34</v>
      </c>
    </row>
    <row r="8" spans="1:32" x14ac:dyDescent="0.25">
      <c r="D8" t="s">
        <v>30</v>
      </c>
      <c r="E8" t="s">
        <v>86</v>
      </c>
      <c r="F8">
        <v>62.04</v>
      </c>
      <c r="G8">
        <v>16627</v>
      </c>
      <c r="H8">
        <v>0.55000000000000004</v>
      </c>
      <c r="I8">
        <v>0.87</v>
      </c>
      <c r="J8">
        <v>2.5099999999999998</v>
      </c>
      <c r="K8">
        <v>4.72</v>
      </c>
      <c r="L8">
        <v>9.01</v>
      </c>
      <c r="M8">
        <v>0.84</v>
      </c>
      <c r="N8">
        <v>0.79</v>
      </c>
      <c r="O8">
        <v>0.75</v>
      </c>
      <c r="P8">
        <v>0.87</v>
      </c>
      <c r="Q8">
        <v>0</v>
      </c>
      <c r="R8">
        <v>0.87</v>
      </c>
      <c r="S8">
        <v>0.87</v>
      </c>
      <c r="T8">
        <v>705006354.13</v>
      </c>
      <c r="U8">
        <v>77.900000000000006</v>
      </c>
      <c r="V8">
        <v>0.8</v>
      </c>
      <c r="W8" t="s">
        <v>112</v>
      </c>
      <c r="X8" t="s">
        <v>84</v>
      </c>
      <c r="Y8" t="s">
        <v>112</v>
      </c>
      <c r="Z8" t="s">
        <v>112</v>
      </c>
      <c r="AA8" t="s">
        <v>85</v>
      </c>
      <c r="AB8" t="s">
        <v>85</v>
      </c>
      <c r="AC8">
        <v>0</v>
      </c>
      <c r="AD8">
        <v>26</v>
      </c>
      <c r="AE8">
        <v>11</v>
      </c>
      <c r="AF8">
        <f>AD8+AE8</f>
        <v>37</v>
      </c>
    </row>
    <row r="9" spans="1:32" x14ac:dyDescent="0.25">
      <c r="D9" t="s">
        <v>9</v>
      </c>
      <c r="E9" t="s">
        <v>89</v>
      </c>
      <c r="F9">
        <v>103.53</v>
      </c>
      <c r="G9">
        <v>10690</v>
      </c>
      <c r="H9">
        <v>0.85</v>
      </c>
      <c r="I9">
        <v>0.81</v>
      </c>
      <c r="J9">
        <v>2.2799999999999998</v>
      </c>
      <c r="K9">
        <v>4.43</v>
      </c>
      <c r="L9">
        <v>8.2100000000000009</v>
      </c>
      <c r="M9">
        <v>0.76</v>
      </c>
      <c r="N9">
        <v>0.74</v>
      </c>
      <c r="O9">
        <v>0.68</v>
      </c>
      <c r="P9">
        <v>1.56</v>
      </c>
      <c r="Q9">
        <v>-10.31</v>
      </c>
      <c r="R9">
        <v>-9.58</v>
      </c>
      <c r="S9">
        <v>-8.9</v>
      </c>
      <c r="T9">
        <v>1024468739.64</v>
      </c>
      <c r="U9">
        <v>132.05000000000001</v>
      </c>
      <c r="V9">
        <v>0.78</v>
      </c>
      <c r="W9" t="s">
        <v>108</v>
      </c>
      <c r="X9" t="s">
        <v>84</v>
      </c>
      <c r="Y9" t="s">
        <v>108</v>
      </c>
      <c r="Z9" t="s">
        <v>108</v>
      </c>
      <c r="AA9" t="s">
        <v>84</v>
      </c>
      <c r="AB9" t="s">
        <v>84</v>
      </c>
      <c r="AC9">
        <v>15</v>
      </c>
      <c r="AD9">
        <v>29</v>
      </c>
      <c r="AE9">
        <v>9</v>
      </c>
      <c r="AF9">
        <f>AD9+AE9</f>
        <v>38</v>
      </c>
    </row>
    <row r="10" spans="1:32" x14ac:dyDescent="0.25">
      <c r="D10" t="s">
        <v>39</v>
      </c>
      <c r="E10" t="s">
        <v>91</v>
      </c>
      <c r="F10">
        <v>68</v>
      </c>
      <c r="G10">
        <v>7714</v>
      </c>
      <c r="H10">
        <v>0.52</v>
      </c>
      <c r="I10">
        <v>0.75</v>
      </c>
      <c r="J10">
        <v>2.35</v>
      </c>
      <c r="K10">
        <v>4.4400000000000004</v>
      </c>
      <c r="L10">
        <v>8.84</v>
      </c>
      <c r="M10">
        <v>0.78</v>
      </c>
      <c r="N10">
        <v>0.74</v>
      </c>
      <c r="O10">
        <v>0.74</v>
      </c>
      <c r="P10">
        <v>0.75</v>
      </c>
      <c r="Q10">
        <v>0</v>
      </c>
      <c r="R10">
        <v>0.75</v>
      </c>
      <c r="S10">
        <v>0.75</v>
      </c>
      <c r="T10">
        <v>798794859.5</v>
      </c>
      <c r="U10">
        <v>97.66</v>
      </c>
      <c r="V10">
        <v>0.7</v>
      </c>
      <c r="W10" t="s">
        <v>115</v>
      </c>
      <c r="X10" t="s">
        <v>84</v>
      </c>
      <c r="Y10" t="s">
        <v>115</v>
      </c>
      <c r="Z10" t="s">
        <v>115</v>
      </c>
      <c r="AA10" t="s">
        <v>166</v>
      </c>
      <c r="AB10" t="s">
        <v>85</v>
      </c>
      <c r="AC10">
        <v>8</v>
      </c>
      <c r="AD10">
        <v>34</v>
      </c>
      <c r="AE10">
        <v>5</v>
      </c>
      <c r="AF10">
        <f>AD10+AE10</f>
        <v>39</v>
      </c>
    </row>
    <row r="11" spans="1:32" x14ac:dyDescent="0.25">
      <c r="D11" t="s">
        <v>40</v>
      </c>
      <c r="E11" t="s">
        <v>91</v>
      </c>
      <c r="F11">
        <v>100.81</v>
      </c>
      <c r="G11">
        <v>33419</v>
      </c>
      <c r="H11">
        <v>1.25</v>
      </c>
      <c r="I11">
        <v>1.23</v>
      </c>
      <c r="J11">
        <v>3.66</v>
      </c>
      <c r="K11">
        <v>6.89</v>
      </c>
      <c r="L11">
        <v>11.46</v>
      </c>
      <c r="M11">
        <v>1.22</v>
      </c>
      <c r="N11">
        <v>1.1499999999999999</v>
      </c>
      <c r="O11">
        <v>0.95</v>
      </c>
      <c r="P11">
        <v>2.4300000000000002</v>
      </c>
      <c r="Q11">
        <v>-2.41</v>
      </c>
      <c r="R11">
        <v>-1.21</v>
      </c>
      <c r="S11">
        <v>-0.02</v>
      </c>
      <c r="T11">
        <v>1105317680.8800001</v>
      </c>
      <c r="U11">
        <v>100.05</v>
      </c>
      <c r="V11">
        <v>1.01</v>
      </c>
      <c r="W11" t="s">
        <v>93</v>
      </c>
      <c r="X11" t="s">
        <v>84</v>
      </c>
      <c r="Y11" t="s">
        <v>93</v>
      </c>
      <c r="Z11" t="s">
        <v>93</v>
      </c>
      <c r="AA11" t="s">
        <v>85</v>
      </c>
      <c r="AB11" t="s">
        <v>85</v>
      </c>
      <c r="AC11">
        <v>10</v>
      </c>
      <c r="AD11">
        <v>3</v>
      </c>
      <c r="AE11">
        <v>37</v>
      </c>
      <c r="AF11">
        <f>AD11+AE11</f>
        <v>40</v>
      </c>
    </row>
    <row r="12" spans="1:32" x14ac:dyDescent="0.25">
      <c r="D12" t="s">
        <v>4</v>
      </c>
      <c r="E12" t="s">
        <v>91</v>
      </c>
      <c r="F12">
        <v>69.02</v>
      </c>
      <c r="G12">
        <v>28152</v>
      </c>
      <c r="H12">
        <v>0.5</v>
      </c>
      <c r="I12">
        <v>0.71</v>
      </c>
      <c r="J12">
        <v>2.14</v>
      </c>
      <c r="K12">
        <v>4.1100000000000003</v>
      </c>
      <c r="L12">
        <v>7.46</v>
      </c>
      <c r="M12">
        <v>0.71</v>
      </c>
      <c r="N12">
        <v>0.68</v>
      </c>
      <c r="O12">
        <v>0.62</v>
      </c>
      <c r="P12">
        <v>7.46</v>
      </c>
      <c r="Q12">
        <v>-1.93</v>
      </c>
      <c r="R12">
        <v>-1.23</v>
      </c>
      <c r="S12">
        <v>-11.38</v>
      </c>
      <c r="T12">
        <v>2809345315.52</v>
      </c>
      <c r="U12">
        <v>105.46</v>
      </c>
      <c r="V12">
        <v>0.65</v>
      </c>
      <c r="W12" t="s">
        <v>85</v>
      </c>
      <c r="X12" t="s">
        <v>85</v>
      </c>
      <c r="Y12" t="s">
        <v>85</v>
      </c>
      <c r="Z12" t="s">
        <v>85</v>
      </c>
      <c r="AA12" t="s">
        <v>113</v>
      </c>
      <c r="AB12" t="s">
        <v>114</v>
      </c>
      <c r="AC12">
        <v>15</v>
      </c>
      <c r="AD12">
        <v>40</v>
      </c>
      <c r="AE12">
        <v>2</v>
      </c>
      <c r="AF12">
        <f>AD12+AE12</f>
        <v>42</v>
      </c>
    </row>
    <row r="13" spans="1:32" x14ac:dyDescent="0.25">
      <c r="D13" t="s">
        <v>51</v>
      </c>
      <c r="E13" t="s">
        <v>100</v>
      </c>
      <c r="F13">
        <v>85</v>
      </c>
      <c r="G13">
        <v>6321</v>
      </c>
      <c r="H13">
        <v>0.63</v>
      </c>
      <c r="I13">
        <v>0.74</v>
      </c>
      <c r="J13">
        <v>2.11</v>
      </c>
      <c r="K13">
        <v>4.18</v>
      </c>
      <c r="L13">
        <v>7.76</v>
      </c>
      <c r="M13">
        <v>0.7</v>
      </c>
      <c r="N13">
        <v>0.7</v>
      </c>
      <c r="O13">
        <v>0.65</v>
      </c>
      <c r="P13">
        <v>0.74</v>
      </c>
      <c r="Q13">
        <v>0</v>
      </c>
      <c r="R13">
        <v>0.74</v>
      </c>
      <c r="S13">
        <v>0.74</v>
      </c>
      <c r="T13">
        <v>784874389.67999995</v>
      </c>
      <c r="U13">
        <v>109.77</v>
      </c>
      <c r="V13">
        <v>0.77</v>
      </c>
      <c r="W13" t="s">
        <v>106</v>
      </c>
      <c r="X13" t="s">
        <v>84</v>
      </c>
      <c r="Y13" t="s">
        <v>106</v>
      </c>
      <c r="Z13" t="s">
        <v>106</v>
      </c>
      <c r="AA13" t="s">
        <v>140</v>
      </c>
      <c r="AB13" t="s">
        <v>119</v>
      </c>
      <c r="AC13">
        <v>5</v>
      </c>
      <c r="AD13">
        <v>35</v>
      </c>
      <c r="AE13">
        <v>7</v>
      </c>
      <c r="AF13">
        <f>AD13+AE13</f>
        <v>42</v>
      </c>
    </row>
    <row r="14" spans="1:32" x14ac:dyDescent="0.25">
      <c r="D14" t="s">
        <v>19</v>
      </c>
      <c r="E14" t="s">
        <v>82</v>
      </c>
      <c r="F14">
        <v>75.97</v>
      </c>
      <c r="G14">
        <v>22561</v>
      </c>
      <c r="H14">
        <v>0.6</v>
      </c>
      <c r="I14">
        <v>0.78</v>
      </c>
      <c r="J14">
        <v>2.14</v>
      </c>
      <c r="K14">
        <v>4.2</v>
      </c>
      <c r="L14">
        <v>6.66</v>
      </c>
      <c r="M14">
        <v>0.71</v>
      </c>
      <c r="N14">
        <v>0.7</v>
      </c>
      <c r="O14">
        <v>0.55000000000000004</v>
      </c>
      <c r="P14">
        <v>1.5</v>
      </c>
      <c r="Q14">
        <v>1.05</v>
      </c>
      <c r="R14">
        <v>1.84</v>
      </c>
      <c r="S14">
        <v>2.57</v>
      </c>
      <c r="T14">
        <v>1500339670.51</v>
      </c>
      <c r="U14">
        <v>95.07</v>
      </c>
      <c r="V14">
        <v>0.8</v>
      </c>
      <c r="W14" t="s">
        <v>110</v>
      </c>
      <c r="X14" t="s">
        <v>84</v>
      </c>
      <c r="Y14" t="s">
        <v>110</v>
      </c>
      <c r="Z14" t="s">
        <v>110</v>
      </c>
      <c r="AA14" t="s">
        <v>123</v>
      </c>
      <c r="AB14" t="s">
        <v>85</v>
      </c>
      <c r="AC14">
        <v>5</v>
      </c>
      <c r="AD14">
        <v>32</v>
      </c>
      <c r="AE14">
        <v>12</v>
      </c>
      <c r="AF14">
        <f>AD14+AE14</f>
        <v>44</v>
      </c>
    </row>
    <row r="15" spans="1:32" x14ac:dyDescent="0.25">
      <c r="D15" t="s">
        <v>33</v>
      </c>
      <c r="E15" t="s">
        <v>86</v>
      </c>
      <c r="F15">
        <v>71.989999999999995</v>
      </c>
      <c r="G15">
        <v>27452</v>
      </c>
      <c r="H15">
        <v>0.6</v>
      </c>
      <c r="I15">
        <v>0.83</v>
      </c>
      <c r="J15">
        <v>2.48</v>
      </c>
      <c r="K15">
        <v>4.84</v>
      </c>
      <c r="L15">
        <v>8.9700000000000006</v>
      </c>
      <c r="M15">
        <v>0.83</v>
      </c>
      <c r="N15">
        <v>0.81</v>
      </c>
      <c r="O15">
        <v>0.75</v>
      </c>
      <c r="P15">
        <v>0.83</v>
      </c>
      <c r="Q15">
        <v>0</v>
      </c>
      <c r="R15">
        <v>0.83</v>
      </c>
      <c r="S15">
        <v>0.83</v>
      </c>
      <c r="T15">
        <v>1171149868.3699999</v>
      </c>
      <c r="U15">
        <v>85.61</v>
      </c>
      <c r="V15">
        <v>0.84</v>
      </c>
      <c r="W15" t="s">
        <v>101</v>
      </c>
      <c r="X15" t="s">
        <v>84</v>
      </c>
      <c r="Y15" t="s">
        <v>101</v>
      </c>
      <c r="Z15" t="s">
        <v>101</v>
      </c>
      <c r="AA15" t="s">
        <v>85</v>
      </c>
      <c r="AB15" t="s">
        <v>85</v>
      </c>
      <c r="AC15">
        <v>0</v>
      </c>
      <c r="AD15">
        <v>28</v>
      </c>
      <c r="AE15">
        <v>17</v>
      </c>
      <c r="AF15">
        <f>AD15+AE15</f>
        <v>45</v>
      </c>
    </row>
    <row r="16" spans="1:32" x14ac:dyDescent="0.25">
      <c r="D16" t="s">
        <v>50</v>
      </c>
      <c r="E16" t="s">
        <v>100</v>
      </c>
      <c r="F16">
        <v>96.19</v>
      </c>
      <c r="G16">
        <v>17987</v>
      </c>
      <c r="H16">
        <v>1.1000000000000001</v>
      </c>
      <c r="I16">
        <v>1.1499999999999999</v>
      </c>
      <c r="J16">
        <v>3.28</v>
      </c>
      <c r="K16">
        <v>6.35</v>
      </c>
      <c r="L16">
        <v>11.96</v>
      </c>
      <c r="M16">
        <v>1.0900000000000001</v>
      </c>
      <c r="N16">
        <v>1.06</v>
      </c>
      <c r="O16">
        <v>1</v>
      </c>
      <c r="P16">
        <v>2.2799999999999998</v>
      </c>
      <c r="Q16">
        <v>-2.35</v>
      </c>
      <c r="R16">
        <v>-1.23</v>
      </c>
      <c r="S16">
        <v>-0.12</v>
      </c>
      <c r="T16">
        <v>655466884.16999996</v>
      </c>
      <c r="U16">
        <v>95.16</v>
      </c>
      <c r="V16">
        <v>1.01</v>
      </c>
      <c r="W16" t="s">
        <v>103</v>
      </c>
      <c r="X16" t="s">
        <v>84</v>
      </c>
      <c r="Y16" t="s">
        <v>103</v>
      </c>
      <c r="Z16" t="s">
        <v>103</v>
      </c>
      <c r="AA16" t="s">
        <v>85</v>
      </c>
      <c r="AB16" t="s">
        <v>85</v>
      </c>
      <c r="AC16">
        <v>0</v>
      </c>
      <c r="AD16">
        <v>7</v>
      </c>
      <c r="AE16">
        <v>38</v>
      </c>
      <c r="AF16">
        <f>AD16+AE16</f>
        <v>45</v>
      </c>
    </row>
    <row r="17" spans="4:32" x14ac:dyDescent="0.25">
      <c r="D17" t="s">
        <v>44</v>
      </c>
      <c r="E17" t="s">
        <v>86</v>
      </c>
      <c r="F17">
        <v>94.8</v>
      </c>
      <c r="G17">
        <v>18019</v>
      </c>
      <c r="H17">
        <v>1.08</v>
      </c>
      <c r="I17">
        <v>1.1000000000000001</v>
      </c>
      <c r="J17">
        <v>3.95</v>
      </c>
      <c r="K17">
        <v>7.97</v>
      </c>
      <c r="L17">
        <v>12.87</v>
      </c>
      <c r="M17">
        <v>1.32</v>
      </c>
      <c r="N17">
        <v>1.33</v>
      </c>
      <c r="O17">
        <v>1.07</v>
      </c>
      <c r="P17">
        <v>2.38</v>
      </c>
      <c r="Q17">
        <v>-0.1</v>
      </c>
      <c r="R17">
        <v>1</v>
      </c>
      <c r="S17">
        <v>2.29</v>
      </c>
      <c r="T17">
        <v>1167961094.9200001</v>
      </c>
      <c r="U17">
        <v>94.36</v>
      </c>
      <c r="V17">
        <v>1</v>
      </c>
      <c r="W17" t="s">
        <v>122</v>
      </c>
      <c r="X17" t="s">
        <v>84</v>
      </c>
      <c r="Y17" t="s">
        <v>122</v>
      </c>
      <c r="Z17" t="s">
        <v>122</v>
      </c>
      <c r="AA17" t="s">
        <v>85</v>
      </c>
      <c r="AB17" t="s">
        <v>85</v>
      </c>
      <c r="AC17">
        <v>0</v>
      </c>
      <c r="AD17">
        <v>10</v>
      </c>
      <c r="AE17">
        <v>36</v>
      </c>
      <c r="AF17">
        <f>AD17+AE17</f>
        <v>46</v>
      </c>
    </row>
    <row r="18" spans="4:32" x14ac:dyDescent="0.25">
      <c r="D18" t="s">
        <v>21</v>
      </c>
      <c r="E18" t="s">
        <v>91</v>
      </c>
      <c r="F18">
        <v>75.66</v>
      </c>
      <c r="G18">
        <v>17549</v>
      </c>
      <c r="H18">
        <v>0.53</v>
      </c>
      <c r="I18">
        <v>0.69</v>
      </c>
      <c r="J18">
        <v>1.99</v>
      </c>
      <c r="K18">
        <v>4.13</v>
      </c>
      <c r="L18">
        <v>7.67</v>
      </c>
      <c r="M18">
        <v>0.66</v>
      </c>
      <c r="N18">
        <v>0.69</v>
      </c>
      <c r="O18">
        <v>0.64</v>
      </c>
      <c r="P18">
        <v>1.35</v>
      </c>
      <c r="Q18">
        <v>-3.04</v>
      </c>
      <c r="R18">
        <v>-2.38</v>
      </c>
      <c r="S18">
        <v>-1.73</v>
      </c>
      <c r="T18">
        <v>2368441112.9099998</v>
      </c>
      <c r="U18">
        <v>114.05</v>
      </c>
      <c r="V18">
        <v>0.66</v>
      </c>
      <c r="W18" t="s">
        <v>121</v>
      </c>
      <c r="X18" t="s">
        <v>84</v>
      </c>
      <c r="Y18" t="s">
        <v>121</v>
      </c>
      <c r="Z18" t="s">
        <v>121</v>
      </c>
      <c r="AA18" t="s">
        <v>164</v>
      </c>
      <c r="AB18" t="s">
        <v>165</v>
      </c>
      <c r="AC18">
        <v>5</v>
      </c>
      <c r="AD18">
        <v>44</v>
      </c>
      <c r="AE18">
        <v>3</v>
      </c>
      <c r="AF18">
        <f>AD18+AE18</f>
        <v>47</v>
      </c>
    </row>
    <row r="19" spans="4:32" x14ac:dyDescent="0.25">
      <c r="D19" t="s">
        <v>31</v>
      </c>
      <c r="E19" t="s">
        <v>91</v>
      </c>
      <c r="F19">
        <v>9.1199999999999992</v>
      </c>
      <c r="G19">
        <v>582663</v>
      </c>
      <c r="H19">
        <v>0.09</v>
      </c>
      <c r="I19">
        <v>0.98</v>
      </c>
      <c r="J19">
        <v>2.86</v>
      </c>
      <c r="K19">
        <v>5.35</v>
      </c>
      <c r="L19">
        <v>9.7100000000000009</v>
      </c>
      <c r="M19">
        <v>0.95</v>
      </c>
      <c r="N19">
        <v>0.89</v>
      </c>
      <c r="O19">
        <v>0.81</v>
      </c>
      <c r="P19">
        <v>1.97</v>
      </c>
      <c r="Q19">
        <v>1.32</v>
      </c>
      <c r="R19">
        <v>2.31</v>
      </c>
      <c r="S19">
        <v>3.32</v>
      </c>
      <c r="T19">
        <v>2315148318.21</v>
      </c>
      <c r="U19">
        <v>10.24</v>
      </c>
      <c r="V19">
        <v>0.89</v>
      </c>
      <c r="W19" t="s">
        <v>99</v>
      </c>
      <c r="X19" t="s">
        <v>84</v>
      </c>
      <c r="Y19" t="s">
        <v>99</v>
      </c>
      <c r="Z19" t="s">
        <v>99</v>
      </c>
      <c r="AA19" t="s">
        <v>85</v>
      </c>
      <c r="AB19" t="s">
        <v>85</v>
      </c>
      <c r="AC19">
        <v>0</v>
      </c>
      <c r="AD19">
        <v>22</v>
      </c>
      <c r="AE19">
        <v>25</v>
      </c>
      <c r="AF19">
        <f>AD19+AE19</f>
        <v>47</v>
      </c>
    </row>
    <row r="20" spans="4:32" x14ac:dyDescent="0.25">
      <c r="D20" t="s">
        <v>12</v>
      </c>
      <c r="E20" t="s">
        <v>100</v>
      </c>
      <c r="F20">
        <v>122.8</v>
      </c>
      <c r="G20">
        <v>91388</v>
      </c>
      <c r="H20">
        <v>1.6</v>
      </c>
      <c r="I20">
        <v>1.28</v>
      </c>
      <c r="J20">
        <v>3.85</v>
      </c>
      <c r="K20">
        <v>7.69</v>
      </c>
      <c r="L20">
        <v>15.55</v>
      </c>
      <c r="M20">
        <v>1.28</v>
      </c>
      <c r="N20">
        <v>1.28</v>
      </c>
      <c r="O20">
        <v>1.3</v>
      </c>
      <c r="P20">
        <v>1.28</v>
      </c>
      <c r="Q20">
        <v>0</v>
      </c>
      <c r="R20">
        <v>1.28</v>
      </c>
      <c r="S20">
        <v>1.28</v>
      </c>
      <c r="T20">
        <v>2389620318.6300001</v>
      </c>
      <c r="U20">
        <v>117.64</v>
      </c>
      <c r="V20">
        <v>1.04</v>
      </c>
      <c r="W20" t="s">
        <v>94</v>
      </c>
      <c r="X20" t="s">
        <v>84</v>
      </c>
      <c r="Y20" t="s">
        <v>94</v>
      </c>
      <c r="Z20" t="s">
        <v>94</v>
      </c>
      <c r="AA20" t="s">
        <v>85</v>
      </c>
      <c r="AB20" t="s">
        <v>85</v>
      </c>
      <c r="AC20">
        <v>0</v>
      </c>
      <c r="AD20">
        <v>1</v>
      </c>
      <c r="AE20">
        <v>46</v>
      </c>
      <c r="AF20">
        <f>AD20+AE20</f>
        <v>47</v>
      </c>
    </row>
    <row r="21" spans="4:32" x14ac:dyDescent="0.25">
      <c r="D21" t="s">
        <v>7</v>
      </c>
      <c r="E21" t="s">
        <v>86</v>
      </c>
      <c r="F21">
        <v>100.6</v>
      </c>
      <c r="G21">
        <v>27321</v>
      </c>
      <c r="H21">
        <v>1.1200000000000001</v>
      </c>
      <c r="I21">
        <v>1.1000000000000001</v>
      </c>
      <c r="J21">
        <v>3.3</v>
      </c>
      <c r="K21">
        <v>6.6</v>
      </c>
      <c r="L21">
        <v>12.19</v>
      </c>
      <c r="M21">
        <v>1.1000000000000001</v>
      </c>
      <c r="N21">
        <v>1.1000000000000001</v>
      </c>
      <c r="O21">
        <v>1.02</v>
      </c>
      <c r="P21">
        <v>1.1000000000000001</v>
      </c>
      <c r="Q21">
        <v>0</v>
      </c>
      <c r="R21">
        <v>1.1000000000000001</v>
      </c>
      <c r="S21">
        <v>1.1000000000000001</v>
      </c>
      <c r="T21">
        <v>1050988640.61</v>
      </c>
      <c r="U21">
        <v>99.94</v>
      </c>
      <c r="V21">
        <v>1.01</v>
      </c>
      <c r="W21" t="s">
        <v>98</v>
      </c>
      <c r="X21" t="s">
        <v>84</v>
      </c>
      <c r="Y21" t="s">
        <v>98</v>
      </c>
      <c r="Z21" t="s">
        <v>98</v>
      </c>
      <c r="AA21" t="s">
        <v>85</v>
      </c>
      <c r="AB21" t="s">
        <v>85</v>
      </c>
      <c r="AC21">
        <v>0</v>
      </c>
      <c r="AD21">
        <v>9</v>
      </c>
      <c r="AE21">
        <v>39</v>
      </c>
      <c r="AF21">
        <f>AD21+AE21</f>
        <v>48</v>
      </c>
    </row>
    <row r="22" spans="4:32" x14ac:dyDescent="0.25">
      <c r="D22" t="s">
        <v>6</v>
      </c>
      <c r="E22" t="s">
        <v>86</v>
      </c>
      <c r="F22">
        <v>96.21</v>
      </c>
      <c r="G22">
        <v>60181</v>
      </c>
      <c r="H22">
        <v>1.1000000000000001</v>
      </c>
      <c r="I22">
        <v>1.1299999999999999</v>
      </c>
      <c r="J22">
        <v>3.28</v>
      </c>
      <c r="K22">
        <v>6.32</v>
      </c>
      <c r="L22">
        <v>12.37</v>
      </c>
      <c r="M22">
        <v>1.0900000000000001</v>
      </c>
      <c r="N22">
        <v>1.05</v>
      </c>
      <c r="O22">
        <v>1.03</v>
      </c>
      <c r="P22">
        <v>1.1299999999999999</v>
      </c>
      <c r="Q22">
        <v>0</v>
      </c>
      <c r="R22">
        <v>1.1299999999999999</v>
      </c>
      <c r="S22">
        <v>1.1299999999999999</v>
      </c>
      <c r="T22">
        <v>2627597253.52</v>
      </c>
      <c r="U22">
        <v>93.93</v>
      </c>
      <c r="V22">
        <v>1.02</v>
      </c>
      <c r="W22" t="s">
        <v>97</v>
      </c>
      <c r="X22" t="s">
        <v>84</v>
      </c>
      <c r="Y22" t="s">
        <v>97</v>
      </c>
      <c r="Z22" t="s">
        <v>97</v>
      </c>
      <c r="AA22" t="s">
        <v>85</v>
      </c>
      <c r="AB22" t="s">
        <v>85</v>
      </c>
      <c r="AC22">
        <v>0</v>
      </c>
      <c r="AD22">
        <v>8</v>
      </c>
      <c r="AE22">
        <v>40</v>
      </c>
      <c r="AF22">
        <f>AD22+AE22</f>
        <v>48</v>
      </c>
    </row>
    <row r="23" spans="4:32" x14ac:dyDescent="0.25">
      <c r="D23" t="s">
        <v>14</v>
      </c>
      <c r="E23" t="s">
        <v>82</v>
      </c>
      <c r="F23">
        <v>166</v>
      </c>
      <c r="G23">
        <v>10298</v>
      </c>
      <c r="H23">
        <v>1.1499999999999999</v>
      </c>
      <c r="I23">
        <v>0.69</v>
      </c>
      <c r="J23">
        <v>1.95</v>
      </c>
      <c r="K23">
        <v>3.58</v>
      </c>
      <c r="L23">
        <v>5.12</v>
      </c>
      <c r="M23">
        <v>0.65</v>
      </c>
      <c r="N23">
        <v>0.6</v>
      </c>
      <c r="O23">
        <v>0.43</v>
      </c>
      <c r="P23">
        <v>1.37</v>
      </c>
      <c r="Q23">
        <v>0.35</v>
      </c>
      <c r="R23">
        <v>1.04</v>
      </c>
      <c r="S23">
        <v>1.74</v>
      </c>
      <c r="T23">
        <v>2151195623.1399999</v>
      </c>
      <c r="U23">
        <v>215.12</v>
      </c>
      <c r="V23">
        <v>0.77</v>
      </c>
      <c r="W23" t="s">
        <v>115</v>
      </c>
      <c r="X23" t="s">
        <v>84</v>
      </c>
      <c r="Y23" t="s">
        <v>115</v>
      </c>
      <c r="Z23" t="s">
        <v>115</v>
      </c>
      <c r="AA23" t="s">
        <v>137</v>
      </c>
      <c r="AB23" t="s">
        <v>85</v>
      </c>
      <c r="AC23">
        <v>17</v>
      </c>
      <c r="AD23">
        <v>43</v>
      </c>
      <c r="AE23">
        <v>8</v>
      </c>
      <c r="AF23">
        <f>AD23+AE23</f>
        <v>51</v>
      </c>
    </row>
    <row r="24" spans="4:32" x14ac:dyDescent="0.25">
      <c r="D24" t="s">
        <v>37</v>
      </c>
      <c r="E24" t="s">
        <v>100</v>
      </c>
      <c r="F24">
        <v>92.57</v>
      </c>
      <c r="G24">
        <v>8734</v>
      </c>
      <c r="H24">
        <v>0.92</v>
      </c>
      <c r="I24">
        <v>0.98</v>
      </c>
      <c r="J24">
        <v>2.8</v>
      </c>
      <c r="K24">
        <v>5.51</v>
      </c>
      <c r="L24">
        <v>10.43</v>
      </c>
      <c r="M24">
        <v>0.93</v>
      </c>
      <c r="N24">
        <v>0.92</v>
      </c>
      <c r="O24">
        <v>0.87</v>
      </c>
      <c r="P24">
        <v>1.91</v>
      </c>
      <c r="Q24">
        <v>-4.55</v>
      </c>
      <c r="R24">
        <v>-3.62</v>
      </c>
      <c r="S24">
        <v>-2.72</v>
      </c>
      <c r="T24">
        <v>1194696714.05</v>
      </c>
      <c r="U24">
        <v>103.1</v>
      </c>
      <c r="V24">
        <v>0.9</v>
      </c>
      <c r="W24" t="s">
        <v>92</v>
      </c>
      <c r="X24" t="s">
        <v>84</v>
      </c>
      <c r="Y24" t="s">
        <v>92</v>
      </c>
      <c r="Z24" t="s">
        <v>92</v>
      </c>
      <c r="AA24" t="s">
        <v>101</v>
      </c>
      <c r="AB24" t="s">
        <v>85</v>
      </c>
      <c r="AC24">
        <v>72</v>
      </c>
      <c r="AD24">
        <v>23</v>
      </c>
      <c r="AE24">
        <v>29</v>
      </c>
      <c r="AF24">
        <f>AD24+AE24</f>
        <v>52</v>
      </c>
    </row>
    <row r="25" spans="4:32" x14ac:dyDescent="0.25">
      <c r="D25" t="s">
        <v>0</v>
      </c>
      <c r="E25" t="s">
        <v>87</v>
      </c>
      <c r="F25">
        <v>89.4</v>
      </c>
      <c r="G25">
        <v>6194</v>
      </c>
      <c r="H25">
        <v>0.89</v>
      </c>
      <c r="I25">
        <v>0.98</v>
      </c>
      <c r="J25">
        <v>2.88</v>
      </c>
      <c r="K25">
        <v>5.68</v>
      </c>
      <c r="L25">
        <v>11.07</v>
      </c>
      <c r="M25">
        <v>0.96</v>
      </c>
      <c r="N25">
        <v>0.95</v>
      </c>
      <c r="O25">
        <v>0.92</v>
      </c>
      <c r="P25">
        <v>1.93</v>
      </c>
      <c r="Q25">
        <v>-3.36</v>
      </c>
      <c r="R25">
        <v>-2.41</v>
      </c>
      <c r="S25">
        <v>-1.48</v>
      </c>
      <c r="T25">
        <v>1525606117.6600001</v>
      </c>
      <c r="U25">
        <v>95.83</v>
      </c>
      <c r="V25">
        <v>0.93</v>
      </c>
      <c r="W25" t="s">
        <v>83</v>
      </c>
      <c r="X25" t="s">
        <v>84</v>
      </c>
      <c r="Y25" t="s">
        <v>83</v>
      </c>
      <c r="Z25" t="s">
        <v>83</v>
      </c>
      <c r="AA25" t="s">
        <v>84</v>
      </c>
      <c r="AB25" t="s">
        <v>84</v>
      </c>
      <c r="AC25">
        <v>64</v>
      </c>
      <c r="AD25">
        <v>21</v>
      </c>
      <c r="AE25">
        <v>32</v>
      </c>
      <c r="AF25">
        <f>AD25+AE25</f>
        <v>53</v>
      </c>
    </row>
    <row r="26" spans="4:32" x14ac:dyDescent="0.25">
      <c r="D26" t="s">
        <v>45</v>
      </c>
      <c r="E26" t="s">
        <v>100</v>
      </c>
      <c r="F26">
        <v>100.97</v>
      </c>
      <c r="G26">
        <v>29645</v>
      </c>
      <c r="H26">
        <v>1.28</v>
      </c>
      <c r="I26">
        <v>1.27</v>
      </c>
      <c r="J26">
        <v>4.45</v>
      </c>
      <c r="K26">
        <v>7.91</v>
      </c>
      <c r="L26">
        <v>13.69</v>
      </c>
      <c r="M26">
        <v>1.48</v>
      </c>
      <c r="N26">
        <v>1.32</v>
      </c>
      <c r="O26">
        <v>1.1399999999999999</v>
      </c>
      <c r="P26">
        <v>1.27</v>
      </c>
      <c r="Q26">
        <v>0</v>
      </c>
      <c r="R26">
        <v>1.27</v>
      </c>
      <c r="S26">
        <v>1.27</v>
      </c>
      <c r="T26">
        <v>885673658.24000001</v>
      </c>
      <c r="U26">
        <v>95.3</v>
      </c>
      <c r="V26">
        <v>1.06</v>
      </c>
      <c r="W26" t="s">
        <v>96</v>
      </c>
      <c r="X26" t="s">
        <v>84</v>
      </c>
      <c r="Y26" t="s">
        <v>96</v>
      </c>
      <c r="Z26" t="s">
        <v>96</v>
      </c>
      <c r="AA26" t="s">
        <v>85</v>
      </c>
      <c r="AB26" t="s">
        <v>85</v>
      </c>
      <c r="AC26">
        <v>0</v>
      </c>
      <c r="AD26">
        <v>2</v>
      </c>
      <c r="AE26">
        <v>51</v>
      </c>
      <c r="AF26">
        <f>AD26+AE26</f>
        <v>53</v>
      </c>
    </row>
    <row r="27" spans="4:32" x14ac:dyDescent="0.25">
      <c r="D27" t="s">
        <v>179</v>
      </c>
      <c r="E27" t="s">
        <v>89</v>
      </c>
      <c r="F27">
        <v>88.51</v>
      </c>
      <c r="G27">
        <v>8203</v>
      </c>
      <c r="H27">
        <v>0.63</v>
      </c>
      <c r="I27">
        <v>0.7</v>
      </c>
      <c r="J27">
        <v>2</v>
      </c>
      <c r="K27">
        <v>4.07</v>
      </c>
      <c r="L27">
        <v>7.43</v>
      </c>
      <c r="M27">
        <v>0.67</v>
      </c>
      <c r="N27">
        <v>0.68</v>
      </c>
      <c r="O27">
        <v>0.62</v>
      </c>
      <c r="P27">
        <v>1.4</v>
      </c>
      <c r="Q27">
        <v>0.28000000000000003</v>
      </c>
      <c r="R27">
        <v>0.98</v>
      </c>
      <c r="S27">
        <v>1.69</v>
      </c>
      <c r="T27">
        <v>1405986303.1199999</v>
      </c>
      <c r="U27">
        <v>111.06</v>
      </c>
      <c r="V27">
        <v>0.8</v>
      </c>
      <c r="W27" t="s">
        <v>106</v>
      </c>
      <c r="X27" t="s">
        <v>84</v>
      </c>
      <c r="Y27" t="s">
        <v>106</v>
      </c>
      <c r="Z27" t="s">
        <v>106</v>
      </c>
      <c r="AA27" t="s">
        <v>95</v>
      </c>
      <c r="AB27" t="s">
        <v>85</v>
      </c>
      <c r="AC27">
        <v>5</v>
      </c>
      <c r="AD27">
        <v>42</v>
      </c>
      <c r="AE27">
        <v>13</v>
      </c>
      <c r="AF27">
        <f>AD27+AE27</f>
        <v>55</v>
      </c>
    </row>
    <row r="28" spans="4:32" x14ac:dyDescent="0.25">
      <c r="D28" t="s">
        <v>24</v>
      </c>
      <c r="E28" t="s">
        <v>86</v>
      </c>
      <c r="F28">
        <v>99.15</v>
      </c>
      <c r="G28">
        <v>114758</v>
      </c>
      <c r="H28">
        <v>1.08</v>
      </c>
      <c r="I28">
        <v>1.05</v>
      </c>
      <c r="J28">
        <v>3.79</v>
      </c>
      <c r="K28">
        <v>7.77</v>
      </c>
      <c r="L28">
        <v>13.71</v>
      </c>
      <c r="M28">
        <v>1.26</v>
      </c>
      <c r="N28">
        <v>1.3</v>
      </c>
      <c r="O28">
        <v>1.1399999999999999</v>
      </c>
      <c r="P28">
        <v>2.36</v>
      </c>
      <c r="Q28">
        <v>-1.54</v>
      </c>
      <c r="R28">
        <v>-0.5</v>
      </c>
      <c r="S28">
        <v>0.8</v>
      </c>
      <c r="T28">
        <v>6947622050.6700001</v>
      </c>
      <c r="U28">
        <v>97.67</v>
      </c>
      <c r="V28">
        <v>1.02</v>
      </c>
      <c r="W28" t="s">
        <v>127</v>
      </c>
      <c r="X28" t="s">
        <v>84</v>
      </c>
      <c r="Y28" t="s">
        <v>127</v>
      </c>
      <c r="Z28" t="s">
        <v>127</v>
      </c>
      <c r="AA28" t="s">
        <v>85</v>
      </c>
      <c r="AB28" t="s">
        <v>85</v>
      </c>
      <c r="AC28">
        <v>0</v>
      </c>
      <c r="AD28">
        <v>15</v>
      </c>
      <c r="AE28">
        <v>41</v>
      </c>
      <c r="AF28">
        <f>AD28+AE28</f>
        <v>56</v>
      </c>
    </row>
    <row r="29" spans="4:32" x14ac:dyDescent="0.25">
      <c r="D29" t="s">
        <v>36</v>
      </c>
      <c r="E29" t="s">
        <v>86</v>
      </c>
      <c r="F29">
        <v>101.79</v>
      </c>
      <c r="G29">
        <v>36389</v>
      </c>
      <c r="H29">
        <v>1.1000000000000001</v>
      </c>
      <c r="I29">
        <v>1.07</v>
      </c>
      <c r="J29">
        <v>3.07</v>
      </c>
      <c r="K29">
        <v>5.73</v>
      </c>
      <c r="L29">
        <v>10.31</v>
      </c>
      <c r="M29">
        <v>1.02</v>
      </c>
      <c r="N29">
        <v>0.95</v>
      </c>
      <c r="O29">
        <v>0.86</v>
      </c>
      <c r="P29">
        <v>1.07</v>
      </c>
      <c r="Q29">
        <v>0</v>
      </c>
      <c r="R29">
        <v>1.07</v>
      </c>
      <c r="S29">
        <v>1.07</v>
      </c>
      <c r="T29">
        <v>1023024300.27</v>
      </c>
      <c r="U29">
        <v>98.73</v>
      </c>
      <c r="V29">
        <v>1.03</v>
      </c>
      <c r="W29" t="s">
        <v>118</v>
      </c>
      <c r="X29" t="s">
        <v>84</v>
      </c>
      <c r="Y29" t="s">
        <v>118</v>
      </c>
      <c r="Z29" t="s">
        <v>118</v>
      </c>
      <c r="AA29" t="s">
        <v>85</v>
      </c>
      <c r="AB29" t="s">
        <v>85</v>
      </c>
      <c r="AC29">
        <v>0</v>
      </c>
      <c r="AD29">
        <v>13</v>
      </c>
      <c r="AE29">
        <v>43</v>
      </c>
      <c r="AF29">
        <f>AD29+AE29</f>
        <v>56</v>
      </c>
    </row>
    <row r="30" spans="4:32" x14ac:dyDescent="0.25">
      <c r="D30" t="s">
        <v>8</v>
      </c>
      <c r="E30" t="s">
        <v>86</v>
      </c>
      <c r="F30">
        <v>102.4</v>
      </c>
      <c r="G30">
        <v>43388</v>
      </c>
      <c r="H30">
        <v>1.25</v>
      </c>
      <c r="I30">
        <v>1.21</v>
      </c>
      <c r="J30">
        <v>3.93</v>
      </c>
      <c r="K30">
        <v>7.98</v>
      </c>
      <c r="L30">
        <v>14.86</v>
      </c>
      <c r="M30">
        <v>1.31</v>
      </c>
      <c r="N30">
        <v>1.33</v>
      </c>
      <c r="O30">
        <v>1.24</v>
      </c>
      <c r="P30">
        <v>1.21</v>
      </c>
      <c r="Q30">
        <v>0</v>
      </c>
      <c r="R30">
        <v>1.21</v>
      </c>
      <c r="S30">
        <v>1.21</v>
      </c>
      <c r="T30">
        <v>1348941632.3299999</v>
      </c>
      <c r="U30">
        <v>97.01</v>
      </c>
      <c r="V30">
        <v>1.06</v>
      </c>
      <c r="W30" t="s">
        <v>136</v>
      </c>
      <c r="X30" t="s">
        <v>84</v>
      </c>
      <c r="Y30" t="s">
        <v>136</v>
      </c>
      <c r="Z30" t="s">
        <v>136</v>
      </c>
      <c r="AA30" t="s">
        <v>85</v>
      </c>
      <c r="AB30" t="s">
        <v>85</v>
      </c>
      <c r="AC30">
        <v>0</v>
      </c>
      <c r="AD30">
        <v>4</v>
      </c>
      <c r="AE30">
        <v>52</v>
      </c>
      <c r="AF30">
        <f>AD30+AE30</f>
        <v>56</v>
      </c>
    </row>
    <row r="31" spans="4:32" x14ac:dyDescent="0.25">
      <c r="D31" t="s">
        <v>183</v>
      </c>
      <c r="E31" t="s">
        <v>87</v>
      </c>
      <c r="F31">
        <v>126.8</v>
      </c>
      <c r="G31">
        <v>4565</v>
      </c>
      <c r="H31">
        <v>0.55000000000000004</v>
      </c>
      <c r="I31">
        <v>0.42</v>
      </c>
      <c r="J31">
        <v>1.52</v>
      </c>
      <c r="K31">
        <v>3.51</v>
      </c>
      <c r="L31">
        <v>6.59</v>
      </c>
      <c r="M31">
        <v>0.51</v>
      </c>
      <c r="N31">
        <v>0.57999999999999996</v>
      </c>
      <c r="O31">
        <v>0.55000000000000004</v>
      </c>
      <c r="P31">
        <v>0.84</v>
      </c>
      <c r="Q31">
        <v>0.41</v>
      </c>
      <c r="R31">
        <v>0.84</v>
      </c>
      <c r="S31">
        <v>1.26</v>
      </c>
      <c r="T31">
        <v>725693907.41999996</v>
      </c>
      <c r="U31">
        <v>196.63</v>
      </c>
      <c r="V31">
        <v>0.64</v>
      </c>
      <c r="W31" t="s">
        <v>178</v>
      </c>
      <c r="X31" t="s">
        <v>84</v>
      </c>
      <c r="Y31" t="s">
        <v>178</v>
      </c>
      <c r="Z31" t="s">
        <v>178</v>
      </c>
      <c r="AA31" t="s">
        <v>180</v>
      </c>
      <c r="AB31" t="s">
        <v>85</v>
      </c>
      <c r="AC31">
        <v>10</v>
      </c>
      <c r="AD31">
        <v>56</v>
      </c>
      <c r="AE31">
        <v>1</v>
      </c>
      <c r="AF31">
        <f>AD31+AE31</f>
        <v>57</v>
      </c>
    </row>
    <row r="32" spans="4:32" x14ac:dyDescent="0.25">
      <c r="D32" t="s">
        <v>1</v>
      </c>
      <c r="E32" t="s">
        <v>86</v>
      </c>
      <c r="F32">
        <v>68.75</v>
      </c>
      <c r="G32">
        <v>36151</v>
      </c>
      <c r="H32">
        <v>0.54</v>
      </c>
      <c r="I32">
        <v>0.75</v>
      </c>
      <c r="J32">
        <v>2.23</v>
      </c>
      <c r="K32">
        <v>4.3600000000000003</v>
      </c>
      <c r="L32">
        <v>7.96</v>
      </c>
      <c r="M32">
        <v>0.74</v>
      </c>
      <c r="N32">
        <v>0.73</v>
      </c>
      <c r="O32">
        <v>0.66</v>
      </c>
      <c r="P32">
        <v>0.75</v>
      </c>
      <c r="Q32">
        <v>0</v>
      </c>
      <c r="R32">
        <v>0.75</v>
      </c>
      <c r="S32">
        <v>0.75</v>
      </c>
      <c r="T32">
        <v>1975752280.8800001</v>
      </c>
      <c r="U32">
        <v>78.45</v>
      </c>
      <c r="V32">
        <v>0.88</v>
      </c>
      <c r="W32" t="s">
        <v>116</v>
      </c>
      <c r="X32" t="s">
        <v>84</v>
      </c>
      <c r="Y32" t="s">
        <v>116</v>
      </c>
      <c r="Z32" t="s">
        <v>116</v>
      </c>
      <c r="AA32" t="s">
        <v>85</v>
      </c>
      <c r="AB32" t="s">
        <v>85</v>
      </c>
      <c r="AC32">
        <v>0</v>
      </c>
      <c r="AD32">
        <v>33</v>
      </c>
      <c r="AE32">
        <v>24</v>
      </c>
      <c r="AF32">
        <f>AD32+AE32</f>
        <v>57</v>
      </c>
    </row>
    <row r="33" spans="4:32" x14ac:dyDescent="0.25">
      <c r="D33" t="s">
        <v>27</v>
      </c>
      <c r="E33" t="s">
        <v>89</v>
      </c>
      <c r="F33">
        <v>99.78</v>
      </c>
      <c r="G33">
        <v>19316</v>
      </c>
      <c r="H33">
        <v>0.71</v>
      </c>
      <c r="I33">
        <v>0.72</v>
      </c>
      <c r="J33">
        <v>2.11</v>
      </c>
      <c r="K33">
        <v>4.24</v>
      </c>
      <c r="L33">
        <v>7.49</v>
      </c>
      <c r="M33">
        <v>0.7</v>
      </c>
      <c r="N33">
        <v>0.71</v>
      </c>
      <c r="O33">
        <v>0.62</v>
      </c>
      <c r="P33">
        <v>0.72</v>
      </c>
      <c r="Q33">
        <v>0</v>
      </c>
      <c r="R33">
        <v>0.72</v>
      </c>
      <c r="S33">
        <v>0.72</v>
      </c>
      <c r="T33">
        <v>1351511613.6400001</v>
      </c>
      <c r="U33">
        <v>114.78</v>
      </c>
      <c r="V33">
        <v>0.87</v>
      </c>
      <c r="W33" t="s">
        <v>90</v>
      </c>
      <c r="X33" t="s">
        <v>84</v>
      </c>
      <c r="Y33" t="s">
        <v>90</v>
      </c>
      <c r="Z33" t="s">
        <v>90</v>
      </c>
      <c r="AA33" t="s">
        <v>177</v>
      </c>
      <c r="AB33" t="s">
        <v>84</v>
      </c>
      <c r="AC33">
        <v>10</v>
      </c>
      <c r="AD33">
        <v>37</v>
      </c>
      <c r="AE33">
        <v>21</v>
      </c>
      <c r="AF33">
        <f>AD33+AE33</f>
        <v>58</v>
      </c>
    </row>
    <row r="34" spans="4:32" x14ac:dyDescent="0.25">
      <c r="D34" t="s">
        <v>23</v>
      </c>
      <c r="E34" t="s">
        <v>86</v>
      </c>
      <c r="F34">
        <v>101.3</v>
      </c>
      <c r="G34">
        <v>62297</v>
      </c>
      <c r="H34">
        <v>1.1000000000000001</v>
      </c>
      <c r="I34">
        <v>1.06</v>
      </c>
      <c r="J34">
        <v>3.64</v>
      </c>
      <c r="K34">
        <v>7.36</v>
      </c>
      <c r="L34">
        <v>13.66</v>
      </c>
      <c r="M34">
        <v>1.21</v>
      </c>
      <c r="N34">
        <v>1.23</v>
      </c>
      <c r="O34">
        <v>1.1399999999999999</v>
      </c>
      <c r="P34">
        <v>2.27</v>
      </c>
      <c r="Q34">
        <v>-2.54</v>
      </c>
      <c r="R34">
        <v>-1.51</v>
      </c>
      <c r="S34">
        <v>-0.31</v>
      </c>
      <c r="T34">
        <v>1408370228.72</v>
      </c>
      <c r="U34">
        <v>98.55</v>
      </c>
      <c r="V34">
        <v>1.03</v>
      </c>
      <c r="W34" t="s">
        <v>122</v>
      </c>
      <c r="X34" t="s">
        <v>84</v>
      </c>
      <c r="Y34" t="s">
        <v>122</v>
      </c>
      <c r="Z34" t="s">
        <v>122</v>
      </c>
      <c r="AA34" t="s">
        <v>85</v>
      </c>
      <c r="AB34" t="s">
        <v>85</v>
      </c>
      <c r="AC34">
        <v>0</v>
      </c>
      <c r="AD34">
        <v>14</v>
      </c>
      <c r="AE34">
        <v>44</v>
      </c>
      <c r="AF34">
        <f>AD34+AE34</f>
        <v>58</v>
      </c>
    </row>
    <row r="35" spans="4:32" x14ac:dyDescent="0.25">
      <c r="D35" t="s">
        <v>11</v>
      </c>
      <c r="E35" t="s">
        <v>86</v>
      </c>
      <c r="F35">
        <v>105.93</v>
      </c>
      <c r="G35">
        <v>21570</v>
      </c>
      <c r="H35">
        <v>1.3</v>
      </c>
      <c r="I35">
        <v>1.21</v>
      </c>
      <c r="J35">
        <v>3.46</v>
      </c>
      <c r="K35">
        <v>7.4</v>
      </c>
      <c r="L35">
        <v>15.58</v>
      </c>
      <c r="M35">
        <v>1.1499999999999999</v>
      </c>
      <c r="N35">
        <v>1.23</v>
      </c>
      <c r="O35">
        <v>1.3</v>
      </c>
      <c r="P35">
        <v>2.2799999999999998</v>
      </c>
      <c r="Q35">
        <v>-3.28</v>
      </c>
      <c r="R35">
        <v>-2.12</v>
      </c>
      <c r="S35">
        <v>-1.06</v>
      </c>
      <c r="T35">
        <v>727155438.88999999</v>
      </c>
      <c r="U35">
        <v>97.96</v>
      </c>
      <c r="V35">
        <v>1.08</v>
      </c>
      <c r="W35" t="s">
        <v>132</v>
      </c>
      <c r="X35" t="s">
        <v>84</v>
      </c>
      <c r="Y35" t="s">
        <v>132</v>
      </c>
      <c r="Z35" t="s">
        <v>132</v>
      </c>
      <c r="AA35" t="s">
        <v>85</v>
      </c>
      <c r="AB35" t="s">
        <v>85</v>
      </c>
      <c r="AC35">
        <v>0</v>
      </c>
      <c r="AD35">
        <v>5</v>
      </c>
      <c r="AE35">
        <v>53</v>
      </c>
      <c r="AF35">
        <f>AD35+AE35</f>
        <v>58</v>
      </c>
    </row>
    <row r="36" spans="4:32" x14ac:dyDescent="0.25">
      <c r="D36" t="s">
        <v>2</v>
      </c>
      <c r="E36" t="s">
        <v>86</v>
      </c>
      <c r="F36">
        <v>110.85</v>
      </c>
      <c r="G36">
        <v>8249</v>
      </c>
      <c r="H36">
        <v>1.2</v>
      </c>
      <c r="I36">
        <v>1.08</v>
      </c>
      <c r="J36">
        <v>3.46</v>
      </c>
      <c r="K36">
        <v>6.62</v>
      </c>
      <c r="L36">
        <v>13.35</v>
      </c>
      <c r="M36">
        <v>1.1499999999999999</v>
      </c>
      <c r="N36">
        <v>1.1000000000000001</v>
      </c>
      <c r="O36">
        <v>1.1100000000000001</v>
      </c>
      <c r="P36">
        <v>2.21</v>
      </c>
      <c r="Q36">
        <v>-0.18</v>
      </c>
      <c r="R36">
        <v>0.9</v>
      </c>
      <c r="S36">
        <v>2.04</v>
      </c>
      <c r="T36">
        <v>667703630.20000005</v>
      </c>
      <c r="U36">
        <v>106.7</v>
      </c>
      <c r="V36">
        <v>1.04</v>
      </c>
      <c r="W36" t="s">
        <v>97</v>
      </c>
      <c r="X36" t="s">
        <v>84</v>
      </c>
      <c r="Y36" t="s">
        <v>97</v>
      </c>
      <c r="Z36" t="s">
        <v>97</v>
      </c>
      <c r="AA36" t="s">
        <v>85</v>
      </c>
      <c r="AB36" t="s">
        <v>85</v>
      </c>
      <c r="AC36">
        <v>0</v>
      </c>
      <c r="AD36">
        <v>12</v>
      </c>
      <c r="AE36">
        <v>47</v>
      </c>
      <c r="AF36">
        <f>AD36+AE36</f>
        <v>59</v>
      </c>
    </row>
    <row r="37" spans="4:32" x14ac:dyDescent="0.25">
      <c r="D37" t="s">
        <v>47</v>
      </c>
      <c r="E37" t="s">
        <v>87</v>
      </c>
      <c r="F37">
        <v>47.96</v>
      </c>
      <c r="G37">
        <v>46752</v>
      </c>
      <c r="H37">
        <v>0.34</v>
      </c>
      <c r="I37">
        <v>0.72</v>
      </c>
      <c r="J37">
        <v>2.2599999999999998</v>
      </c>
      <c r="K37">
        <v>5.21</v>
      </c>
      <c r="L37">
        <v>9.93</v>
      </c>
      <c r="M37">
        <v>0.75</v>
      </c>
      <c r="N37">
        <v>0.87</v>
      </c>
      <c r="O37">
        <v>0.83</v>
      </c>
      <c r="P37">
        <v>1.38</v>
      </c>
      <c r="Q37">
        <v>-8.64</v>
      </c>
      <c r="R37">
        <v>-7.98</v>
      </c>
      <c r="S37">
        <v>-7.37</v>
      </c>
      <c r="T37">
        <v>702294688.25</v>
      </c>
      <c r="U37">
        <v>55.41</v>
      </c>
      <c r="V37">
        <v>0.87</v>
      </c>
      <c r="W37" t="s">
        <v>111</v>
      </c>
      <c r="X37" t="s">
        <v>84</v>
      </c>
      <c r="Y37" t="s">
        <v>111</v>
      </c>
      <c r="Z37" t="s">
        <v>111</v>
      </c>
      <c r="AA37" t="s">
        <v>133</v>
      </c>
      <c r="AB37" t="s">
        <v>85</v>
      </c>
      <c r="AC37">
        <v>9</v>
      </c>
      <c r="AD37">
        <v>38</v>
      </c>
      <c r="AE37">
        <v>22</v>
      </c>
      <c r="AF37">
        <f>AD37+AE37</f>
        <v>60</v>
      </c>
    </row>
    <row r="38" spans="4:32" x14ac:dyDescent="0.25">
      <c r="D38" t="s">
        <v>15</v>
      </c>
      <c r="E38" t="s">
        <v>86</v>
      </c>
      <c r="F38">
        <v>103.95</v>
      </c>
      <c r="G38">
        <v>21324</v>
      </c>
      <c r="H38">
        <v>1.05</v>
      </c>
      <c r="I38">
        <v>1</v>
      </c>
      <c r="J38">
        <v>3.16</v>
      </c>
      <c r="K38">
        <v>5.73</v>
      </c>
      <c r="L38">
        <v>10.63</v>
      </c>
      <c r="M38">
        <v>1.05</v>
      </c>
      <c r="N38">
        <v>0.96</v>
      </c>
      <c r="O38">
        <v>0.89</v>
      </c>
      <c r="P38">
        <v>1.98</v>
      </c>
      <c r="Q38">
        <v>-0.8</v>
      </c>
      <c r="R38">
        <v>0.2</v>
      </c>
      <c r="S38">
        <v>1.18</v>
      </c>
      <c r="T38">
        <v>1256498706.6800001</v>
      </c>
      <c r="U38">
        <v>101.56</v>
      </c>
      <c r="V38">
        <v>1.02</v>
      </c>
      <c r="W38" t="s">
        <v>125</v>
      </c>
      <c r="X38" t="s">
        <v>84</v>
      </c>
      <c r="Y38" t="s">
        <v>125</v>
      </c>
      <c r="Z38" t="s">
        <v>125</v>
      </c>
      <c r="AA38" t="s">
        <v>85</v>
      </c>
      <c r="AB38" t="s">
        <v>85</v>
      </c>
      <c r="AC38">
        <v>0</v>
      </c>
      <c r="AD38">
        <v>18</v>
      </c>
      <c r="AE38">
        <v>42</v>
      </c>
      <c r="AF38">
        <f>AD38+AE38</f>
        <v>60</v>
      </c>
    </row>
    <row r="39" spans="4:32" x14ac:dyDescent="0.25">
      <c r="D39" t="s">
        <v>49</v>
      </c>
      <c r="E39" t="s">
        <v>86</v>
      </c>
      <c r="F39">
        <v>105.3</v>
      </c>
      <c r="G39">
        <v>30002</v>
      </c>
      <c r="H39">
        <v>1.25</v>
      </c>
      <c r="I39">
        <v>1.19</v>
      </c>
      <c r="J39">
        <v>3.51</v>
      </c>
      <c r="K39">
        <v>6.86</v>
      </c>
      <c r="L39">
        <v>12.17</v>
      </c>
      <c r="M39">
        <v>1.17</v>
      </c>
      <c r="N39">
        <v>1.1399999999999999</v>
      </c>
      <c r="O39">
        <v>1.01</v>
      </c>
      <c r="P39">
        <v>2.37</v>
      </c>
      <c r="Q39">
        <v>-0.14000000000000001</v>
      </c>
      <c r="R39">
        <v>1.05</v>
      </c>
      <c r="S39">
        <v>2.2400000000000002</v>
      </c>
      <c r="T39">
        <v>1076572380.55</v>
      </c>
      <c r="U39">
        <v>96.11</v>
      </c>
      <c r="V39">
        <v>1.1000000000000001</v>
      </c>
      <c r="W39" t="s">
        <v>136</v>
      </c>
      <c r="X39" t="s">
        <v>84</v>
      </c>
      <c r="Y39" t="s">
        <v>136</v>
      </c>
      <c r="Z39" t="s">
        <v>136</v>
      </c>
      <c r="AA39" t="s">
        <v>85</v>
      </c>
      <c r="AB39" t="s">
        <v>85</v>
      </c>
      <c r="AC39">
        <v>0</v>
      </c>
      <c r="AD39">
        <v>6</v>
      </c>
      <c r="AE39">
        <v>54</v>
      </c>
      <c r="AF39">
        <f>AD39+AE39</f>
        <v>60</v>
      </c>
    </row>
    <row r="40" spans="4:32" x14ac:dyDescent="0.25">
      <c r="D40" t="s">
        <v>17</v>
      </c>
      <c r="E40" t="s">
        <v>87</v>
      </c>
      <c r="F40">
        <v>126.12</v>
      </c>
      <c r="G40">
        <v>19478</v>
      </c>
      <c r="H40">
        <v>0.69</v>
      </c>
      <c r="I40">
        <v>0.53</v>
      </c>
      <c r="J40">
        <v>3.07</v>
      </c>
      <c r="K40">
        <v>4.72</v>
      </c>
      <c r="L40">
        <v>8.2799999999999994</v>
      </c>
      <c r="M40">
        <v>1.02</v>
      </c>
      <c r="N40">
        <v>0.79</v>
      </c>
      <c r="O40">
        <v>0.69</v>
      </c>
      <c r="P40">
        <v>1.05</v>
      </c>
      <c r="Q40">
        <v>-1.68</v>
      </c>
      <c r="R40">
        <v>-1.1499999999999999</v>
      </c>
      <c r="S40">
        <v>-0.64</v>
      </c>
      <c r="T40">
        <v>1950300222.04</v>
      </c>
      <c r="U40">
        <v>165.03</v>
      </c>
      <c r="V40">
        <v>0.76</v>
      </c>
      <c r="W40" t="s">
        <v>138</v>
      </c>
      <c r="X40" t="s">
        <v>84</v>
      </c>
      <c r="Y40" t="s">
        <v>138</v>
      </c>
      <c r="Z40" t="s">
        <v>138</v>
      </c>
      <c r="AA40" t="s">
        <v>162</v>
      </c>
      <c r="AB40" t="s">
        <v>163</v>
      </c>
      <c r="AC40">
        <v>21</v>
      </c>
      <c r="AD40">
        <v>55</v>
      </c>
      <c r="AE40">
        <v>6</v>
      </c>
      <c r="AF40">
        <f>AD40+AE40</f>
        <v>61</v>
      </c>
    </row>
    <row r="41" spans="4:32" x14ac:dyDescent="0.25">
      <c r="D41" t="s">
        <v>13</v>
      </c>
      <c r="E41" t="s">
        <v>86</v>
      </c>
      <c r="F41">
        <v>76.06</v>
      </c>
      <c r="G41">
        <v>16606</v>
      </c>
      <c r="H41">
        <v>0.6</v>
      </c>
      <c r="I41">
        <v>0.78</v>
      </c>
      <c r="J41">
        <v>2.27</v>
      </c>
      <c r="K41">
        <v>4.47</v>
      </c>
      <c r="L41">
        <v>8.18</v>
      </c>
      <c r="M41">
        <v>0.76</v>
      </c>
      <c r="N41">
        <v>0.74</v>
      </c>
      <c r="O41">
        <v>0.68</v>
      </c>
      <c r="P41">
        <v>1.54</v>
      </c>
      <c r="Q41">
        <v>-2.54</v>
      </c>
      <c r="R41">
        <v>-1.78</v>
      </c>
      <c r="S41">
        <v>-1.04</v>
      </c>
      <c r="T41">
        <v>1946949756.21</v>
      </c>
      <c r="U41">
        <v>84.7</v>
      </c>
      <c r="V41">
        <v>0.9</v>
      </c>
      <c r="W41" t="s">
        <v>112</v>
      </c>
      <c r="X41" t="s">
        <v>84</v>
      </c>
      <c r="Y41" t="s">
        <v>112</v>
      </c>
      <c r="Z41" t="s">
        <v>112</v>
      </c>
      <c r="AA41" t="s">
        <v>85</v>
      </c>
      <c r="AB41" t="s">
        <v>85</v>
      </c>
      <c r="AC41">
        <v>0</v>
      </c>
      <c r="AD41">
        <v>31</v>
      </c>
      <c r="AE41">
        <v>30</v>
      </c>
      <c r="AF41">
        <f>AD41+AE41</f>
        <v>61</v>
      </c>
    </row>
    <row r="42" spans="4:32" x14ac:dyDescent="0.25">
      <c r="D42" t="s">
        <v>22</v>
      </c>
      <c r="E42" t="s">
        <v>86</v>
      </c>
      <c r="F42">
        <v>99.62</v>
      </c>
      <c r="G42">
        <v>49383</v>
      </c>
      <c r="H42">
        <v>0.83</v>
      </c>
      <c r="I42">
        <v>0.83</v>
      </c>
      <c r="J42">
        <v>2.46</v>
      </c>
      <c r="K42">
        <v>4.25</v>
      </c>
      <c r="L42">
        <v>6.76</v>
      </c>
      <c r="M42">
        <v>0.82</v>
      </c>
      <c r="N42">
        <v>0.71</v>
      </c>
      <c r="O42">
        <v>0.56000000000000005</v>
      </c>
      <c r="P42">
        <v>1.65</v>
      </c>
      <c r="Q42">
        <v>0.09</v>
      </c>
      <c r="R42">
        <v>0.92</v>
      </c>
      <c r="S42">
        <v>1.75</v>
      </c>
      <c r="T42">
        <v>3947593005.4899998</v>
      </c>
      <c r="U42">
        <v>100.97</v>
      </c>
      <c r="V42">
        <v>0.99</v>
      </c>
      <c r="W42" t="s">
        <v>107</v>
      </c>
      <c r="X42" t="s">
        <v>84</v>
      </c>
      <c r="Y42" t="s">
        <v>107</v>
      </c>
      <c r="Z42" t="s">
        <v>107</v>
      </c>
      <c r="AA42" t="s">
        <v>85</v>
      </c>
      <c r="AB42" t="s">
        <v>85</v>
      </c>
      <c r="AC42">
        <v>0</v>
      </c>
      <c r="AD42">
        <v>27</v>
      </c>
      <c r="AE42">
        <v>35</v>
      </c>
      <c r="AF42">
        <f>AD42+AE42</f>
        <v>62</v>
      </c>
    </row>
    <row r="43" spans="4:32" x14ac:dyDescent="0.25">
      <c r="D43" t="s">
        <v>35</v>
      </c>
      <c r="E43" t="s">
        <v>100</v>
      </c>
      <c r="F43">
        <v>66.599999999999994</v>
      </c>
      <c r="G43">
        <v>17789</v>
      </c>
      <c r="H43">
        <v>0.46</v>
      </c>
      <c r="I43">
        <v>0.66</v>
      </c>
      <c r="J43">
        <v>1.92</v>
      </c>
      <c r="K43">
        <v>3.76</v>
      </c>
      <c r="L43">
        <v>6.54</v>
      </c>
      <c r="M43">
        <v>0.64</v>
      </c>
      <c r="N43">
        <v>0.63</v>
      </c>
      <c r="O43">
        <v>0.54</v>
      </c>
      <c r="P43">
        <v>0.66</v>
      </c>
      <c r="Q43">
        <v>0</v>
      </c>
      <c r="R43">
        <v>0.66</v>
      </c>
      <c r="S43">
        <v>0.66</v>
      </c>
      <c r="T43">
        <v>1016198168.6799999</v>
      </c>
      <c r="U43">
        <v>83.44</v>
      </c>
      <c r="V43">
        <v>0.8</v>
      </c>
      <c r="W43" t="s">
        <v>130</v>
      </c>
      <c r="X43" t="s">
        <v>84</v>
      </c>
      <c r="Y43" t="s">
        <v>130</v>
      </c>
      <c r="Z43" t="s">
        <v>130</v>
      </c>
      <c r="AA43" t="s">
        <v>181</v>
      </c>
      <c r="AB43" t="s">
        <v>182</v>
      </c>
      <c r="AC43">
        <v>17</v>
      </c>
      <c r="AD43">
        <v>49</v>
      </c>
      <c r="AE43">
        <v>14</v>
      </c>
      <c r="AF43">
        <f>AD43+AE43</f>
        <v>63</v>
      </c>
    </row>
    <row r="44" spans="4:32" x14ac:dyDescent="0.25">
      <c r="D44" t="s">
        <v>43</v>
      </c>
      <c r="E44" t="s">
        <v>100</v>
      </c>
      <c r="F44">
        <v>100.14</v>
      </c>
      <c r="G44">
        <v>11486</v>
      </c>
      <c r="H44">
        <v>0.8</v>
      </c>
      <c r="I44">
        <v>0.79</v>
      </c>
      <c r="J44">
        <v>2.4700000000000002</v>
      </c>
      <c r="K44">
        <v>4.7699999999999996</v>
      </c>
      <c r="L44">
        <v>8.7799999999999994</v>
      </c>
      <c r="M44">
        <v>0.82</v>
      </c>
      <c r="N44">
        <v>0.8</v>
      </c>
      <c r="O44">
        <v>0.73</v>
      </c>
      <c r="P44">
        <v>1.58</v>
      </c>
      <c r="Q44">
        <v>-0.55000000000000004</v>
      </c>
      <c r="R44">
        <v>0.24</v>
      </c>
      <c r="S44">
        <v>1.03</v>
      </c>
      <c r="T44">
        <v>738428430.97000003</v>
      </c>
      <c r="U44">
        <v>101.93</v>
      </c>
      <c r="V44">
        <v>0.98</v>
      </c>
      <c r="W44" t="s">
        <v>85</v>
      </c>
      <c r="X44" t="s">
        <v>85</v>
      </c>
      <c r="Y44" t="s">
        <v>85</v>
      </c>
      <c r="Z44" t="s">
        <v>85</v>
      </c>
      <c r="AA44" t="s">
        <v>84</v>
      </c>
      <c r="AB44" t="s">
        <v>85</v>
      </c>
      <c r="AC44">
        <v>44</v>
      </c>
      <c r="AD44">
        <v>30</v>
      </c>
      <c r="AE44">
        <v>34</v>
      </c>
      <c r="AF44">
        <f>AD44+AE44</f>
        <v>64</v>
      </c>
    </row>
    <row r="45" spans="4:32" x14ac:dyDescent="0.25">
      <c r="D45" t="s">
        <v>34</v>
      </c>
      <c r="E45" t="s">
        <v>89</v>
      </c>
      <c r="F45">
        <v>86</v>
      </c>
      <c r="G45">
        <v>7815</v>
      </c>
      <c r="H45">
        <v>0.6</v>
      </c>
      <c r="I45">
        <v>0.65</v>
      </c>
      <c r="J45">
        <v>2.4700000000000002</v>
      </c>
      <c r="K45">
        <v>4.79</v>
      </c>
      <c r="L45">
        <v>8.5500000000000007</v>
      </c>
      <c r="M45">
        <v>0.82</v>
      </c>
      <c r="N45">
        <v>0.8</v>
      </c>
      <c r="O45">
        <v>0.71</v>
      </c>
      <c r="P45">
        <v>0.65</v>
      </c>
      <c r="Q45">
        <v>0</v>
      </c>
      <c r="R45">
        <v>0.65</v>
      </c>
      <c r="S45">
        <v>0.65</v>
      </c>
      <c r="T45">
        <v>712722830.00999999</v>
      </c>
      <c r="U45">
        <v>106.58</v>
      </c>
      <c r="V45">
        <v>0.81</v>
      </c>
      <c r="W45" t="s">
        <v>105</v>
      </c>
      <c r="X45" t="s">
        <v>84</v>
      </c>
      <c r="Y45" t="s">
        <v>105</v>
      </c>
      <c r="Z45" t="s">
        <v>105</v>
      </c>
      <c r="AA45" t="s">
        <v>84</v>
      </c>
      <c r="AB45" t="s">
        <v>84</v>
      </c>
      <c r="AC45">
        <v>6</v>
      </c>
      <c r="AD45">
        <v>50</v>
      </c>
      <c r="AE45">
        <v>15</v>
      </c>
      <c r="AF45">
        <f>AD45+AE45</f>
        <v>65</v>
      </c>
    </row>
    <row r="46" spans="4:32" x14ac:dyDescent="0.25">
      <c r="D46" t="s">
        <v>52</v>
      </c>
      <c r="E46" t="s">
        <v>89</v>
      </c>
      <c r="F46">
        <v>97.25</v>
      </c>
      <c r="G46">
        <v>67053</v>
      </c>
      <c r="H46">
        <v>0.66</v>
      </c>
      <c r="I46">
        <v>0.72</v>
      </c>
      <c r="J46">
        <v>1.99</v>
      </c>
      <c r="K46">
        <v>3.95</v>
      </c>
      <c r="L46">
        <v>7.25</v>
      </c>
      <c r="M46">
        <v>0.66</v>
      </c>
      <c r="N46">
        <v>0.66</v>
      </c>
      <c r="O46">
        <v>0.6</v>
      </c>
      <c r="P46">
        <v>1.37</v>
      </c>
      <c r="Q46">
        <v>-6.51</v>
      </c>
      <c r="R46">
        <v>-5.84</v>
      </c>
      <c r="S46">
        <v>-5.23</v>
      </c>
      <c r="T46">
        <v>2977539295.4400001</v>
      </c>
      <c r="U46">
        <v>109.87</v>
      </c>
      <c r="V46">
        <v>0.89</v>
      </c>
      <c r="W46" t="s">
        <v>110</v>
      </c>
      <c r="X46" t="s">
        <v>84</v>
      </c>
      <c r="Y46" t="s">
        <v>110</v>
      </c>
      <c r="Z46" t="s">
        <v>110</v>
      </c>
      <c r="AA46" t="s">
        <v>141</v>
      </c>
      <c r="AB46" t="s">
        <v>129</v>
      </c>
      <c r="AC46">
        <v>13</v>
      </c>
      <c r="AD46">
        <v>39</v>
      </c>
      <c r="AE46">
        <v>26</v>
      </c>
      <c r="AF46">
        <f>AD46+AE46</f>
        <v>65</v>
      </c>
    </row>
    <row r="47" spans="4:32" x14ac:dyDescent="0.25">
      <c r="D47" t="s">
        <v>29</v>
      </c>
      <c r="E47" t="s">
        <v>86</v>
      </c>
      <c r="F47">
        <v>100</v>
      </c>
      <c r="G47">
        <v>35223</v>
      </c>
      <c r="H47">
        <v>1</v>
      </c>
      <c r="I47">
        <v>0.99</v>
      </c>
      <c r="J47">
        <v>2.94</v>
      </c>
      <c r="K47">
        <v>5.89</v>
      </c>
      <c r="L47">
        <v>10.75</v>
      </c>
      <c r="M47">
        <v>0.98</v>
      </c>
      <c r="N47">
        <v>0.98</v>
      </c>
      <c r="O47">
        <v>0.9</v>
      </c>
      <c r="P47">
        <v>0.99</v>
      </c>
      <c r="Q47">
        <v>0</v>
      </c>
      <c r="R47">
        <v>0.99</v>
      </c>
      <c r="S47">
        <v>0.99</v>
      </c>
      <c r="T47">
        <v>1202207530.3199999</v>
      </c>
      <c r="U47">
        <v>96.82</v>
      </c>
      <c r="V47">
        <v>1.03</v>
      </c>
      <c r="W47" t="s">
        <v>109</v>
      </c>
      <c r="X47" t="s">
        <v>84</v>
      </c>
      <c r="Y47" t="s">
        <v>109</v>
      </c>
      <c r="Z47" t="s">
        <v>109</v>
      </c>
      <c r="AA47" t="s">
        <v>85</v>
      </c>
      <c r="AB47" t="s">
        <v>85</v>
      </c>
      <c r="AC47">
        <v>0</v>
      </c>
      <c r="AD47">
        <v>20</v>
      </c>
      <c r="AE47">
        <v>45</v>
      </c>
      <c r="AF47">
        <f>AD47+AE47</f>
        <v>65</v>
      </c>
    </row>
    <row r="48" spans="4:32" x14ac:dyDescent="0.25">
      <c r="D48" t="s">
        <v>26</v>
      </c>
      <c r="E48" t="s">
        <v>86</v>
      </c>
      <c r="F48">
        <v>94.19</v>
      </c>
      <c r="G48">
        <v>53043</v>
      </c>
      <c r="H48">
        <v>1</v>
      </c>
      <c r="I48">
        <v>1.05</v>
      </c>
      <c r="J48">
        <v>3.74</v>
      </c>
      <c r="K48">
        <v>7.74</v>
      </c>
      <c r="L48">
        <v>13.52</v>
      </c>
      <c r="M48">
        <v>1.25</v>
      </c>
      <c r="N48">
        <v>1.29</v>
      </c>
      <c r="O48">
        <v>1.1299999999999999</v>
      </c>
      <c r="P48">
        <v>2.31</v>
      </c>
      <c r="Q48">
        <v>-4.1900000000000004</v>
      </c>
      <c r="R48">
        <v>-3.19</v>
      </c>
      <c r="S48">
        <v>-1.97</v>
      </c>
      <c r="T48">
        <v>708642133.38</v>
      </c>
      <c r="U48">
        <v>89.29</v>
      </c>
      <c r="V48">
        <v>1.05</v>
      </c>
      <c r="W48" t="s">
        <v>120</v>
      </c>
      <c r="X48" t="s">
        <v>84</v>
      </c>
      <c r="Y48" t="s">
        <v>120</v>
      </c>
      <c r="Z48" t="s">
        <v>120</v>
      </c>
      <c r="AA48" t="s">
        <v>85</v>
      </c>
      <c r="AB48" t="s">
        <v>85</v>
      </c>
      <c r="AC48">
        <v>0</v>
      </c>
      <c r="AD48">
        <v>16</v>
      </c>
      <c r="AE48">
        <v>49</v>
      </c>
      <c r="AF48">
        <f>AD48+AE48</f>
        <v>65</v>
      </c>
    </row>
    <row r="49" spans="4:32" x14ac:dyDescent="0.25">
      <c r="D49" t="s">
        <v>48</v>
      </c>
      <c r="E49" t="s">
        <v>82</v>
      </c>
      <c r="F49">
        <v>99.72</v>
      </c>
      <c r="G49">
        <v>23111</v>
      </c>
      <c r="H49">
        <v>0.68</v>
      </c>
      <c r="I49">
        <v>0.68</v>
      </c>
      <c r="J49">
        <v>2.14</v>
      </c>
      <c r="K49">
        <v>3.96</v>
      </c>
      <c r="L49">
        <v>6.05</v>
      </c>
      <c r="M49">
        <v>0.71</v>
      </c>
      <c r="N49">
        <v>0.66</v>
      </c>
      <c r="O49">
        <v>0.5</v>
      </c>
      <c r="P49">
        <v>1.36</v>
      </c>
      <c r="Q49">
        <v>-0.51</v>
      </c>
      <c r="R49">
        <v>0.17</v>
      </c>
      <c r="S49">
        <v>0.85</v>
      </c>
      <c r="T49">
        <v>2054561595.1500001</v>
      </c>
      <c r="U49">
        <v>116.1</v>
      </c>
      <c r="V49">
        <v>0.86</v>
      </c>
      <c r="W49" t="s">
        <v>124</v>
      </c>
      <c r="X49" t="s">
        <v>84</v>
      </c>
      <c r="Y49" t="s">
        <v>124</v>
      </c>
      <c r="Z49" t="s">
        <v>124</v>
      </c>
      <c r="AA49" t="s">
        <v>128</v>
      </c>
      <c r="AB49" t="s">
        <v>85</v>
      </c>
      <c r="AC49">
        <v>15</v>
      </c>
      <c r="AD49">
        <v>46</v>
      </c>
      <c r="AE49">
        <v>20</v>
      </c>
      <c r="AF49">
        <f>AD49+AE49</f>
        <v>66</v>
      </c>
    </row>
    <row r="50" spans="4:32" x14ac:dyDescent="0.25">
      <c r="D50" t="s">
        <v>28</v>
      </c>
      <c r="E50" t="s">
        <v>82</v>
      </c>
      <c r="F50">
        <v>99.39</v>
      </c>
      <c r="G50">
        <v>14755</v>
      </c>
      <c r="H50">
        <v>0.72</v>
      </c>
      <c r="I50">
        <v>0.73</v>
      </c>
      <c r="J50">
        <v>2.15</v>
      </c>
      <c r="K50">
        <v>4.1500000000000004</v>
      </c>
      <c r="L50">
        <v>7.11</v>
      </c>
      <c r="M50">
        <v>0.72</v>
      </c>
      <c r="N50">
        <v>0.69</v>
      </c>
      <c r="O50">
        <v>0.59</v>
      </c>
      <c r="P50">
        <v>1.47</v>
      </c>
      <c r="Q50">
        <v>2.48</v>
      </c>
      <c r="R50">
        <v>3.23</v>
      </c>
      <c r="S50">
        <v>4</v>
      </c>
      <c r="T50">
        <v>826318263.28999996</v>
      </c>
      <c r="U50">
        <v>109.3</v>
      </c>
      <c r="V50">
        <v>0.91</v>
      </c>
      <c r="W50" t="s">
        <v>108</v>
      </c>
      <c r="X50" t="s">
        <v>84</v>
      </c>
      <c r="Y50" t="s">
        <v>108</v>
      </c>
      <c r="Z50" t="s">
        <v>108</v>
      </c>
      <c r="AA50" t="s">
        <v>123</v>
      </c>
      <c r="AB50" t="s">
        <v>85</v>
      </c>
      <c r="AC50">
        <v>8</v>
      </c>
      <c r="AD50">
        <v>36</v>
      </c>
      <c r="AE50">
        <v>31</v>
      </c>
      <c r="AF50">
        <f>AD50+AE50</f>
        <v>67</v>
      </c>
    </row>
    <row r="51" spans="4:32" x14ac:dyDescent="0.25">
      <c r="D51" t="s">
        <v>38</v>
      </c>
      <c r="E51" t="s">
        <v>86</v>
      </c>
      <c r="F51">
        <v>100.6</v>
      </c>
      <c r="G51">
        <v>48157</v>
      </c>
      <c r="H51">
        <v>1.05</v>
      </c>
      <c r="I51">
        <v>1.02</v>
      </c>
      <c r="J51">
        <v>3.67</v>
      </c>
      <c r="K51">
        <v>6.85</v>
      </c>
      <c r="L51">
        <v>13</v>
      </c>
      <c r="M51">
        <v>1.22</v>
      </c>
      <c r="N51">
        <v>1.1399999999999999</v>
      </c>
      <c r="O51">
        <v>1.08</v>
      </c>
      <c r="P51">
        <v>1.02</v>
      </c>
      <c r="Q51">
        <v>0</v>
      </c>
      <c r="R51">
        <v>1.02</v>
      </c>
      <c r="S51">
        <v>1.02</v>
      </c>
      <c r="T51">
        <v>2314884536.8699999</v>
      </c>
      <c r="U51">
        <v>95.42</v>
      </c>
      <c r="V51">
        <v>1.05</v>
      </c>
      <c r="W51" t="s">
        <v>95</v>
      </c>
      <c r="X51" t="s">
        <v>84</v>
      </c>
      <c r="Y51" t="s">
        <v>95</v>
      </c>
      <c r="Z51" t="s">
        <v>95</v>
      </c>
      <c r="AA51" t="s">
        <v>85</v>
      </c>
      <c r="AB51" t="s">
        <v>85</v>
      </c>
      <c r="AC51">
        <v>0</v>
      </c>
      <c r="AD51">
        <v>17</v>
      </c>
      <c r="AE51">
        <v>50</v>
      </c>
      <c r="AF51">
        <f>AD51+AE51</f>
        <v>67</v>
      </c>
    </row>
    <row r="52" spans="4:32" x14ac:dyDescent="0.25">
      <c r="D52" t="s">
        <v>46</v>
      </c>
      <c r="E52" t="s">
        <v>89</v>
      </c>
      <c r="F52">
        <v>99.17</v>
      </c>
      <c r="G52">
        <v>34212</v>
      </c>
      <c r="H52">
        <v>0.7</v>
      </c>
      <c r="I52">
        <v>0.68</v>
      </c>
      <c r="J52">
        <v>2.0299999999999998</v>
      </c>
      <c r="K52">
        <v>3.99</v>
      </c>
      <c r="L52">
        <v>6.96</v>
      </c>
      <c r="M52">
        <v>0.68</v>
      </c>
      <c r="N52">
        <v>0.67</v>
      </c>
      <c r="O52">
        <v>0.57999999999999996</v>
      </c>
      <c r="P52">
        <v>1.37</v>
      </c>
      <c r="Q52">
        <v>-0.05</v>
      </c>
      <c r="R52">
        <v>0.63</v>
      </c>
      <c r="S52">
        <v>1.32</v>
      </c>
      <c r="T52">
        <v>1708649934.5999999</v>
      </c>
      <c r="U52">
        <v>113.93</v>
      </c>
      <c r="V52">
        <v>0.87</v>
      </c>
      <c r="W52" t="s">
        <v>111</v>
      </c>
      <c r="X52" t="s">
        <v>84</v>
      </c>
      <c r="Y52" t="s">
        <v>111</v>
      </c>
      <c r="Z52" t="s">
        <v>111</v>
      </c>
      <c r="AA52" t="s">
        <v>84</v>
      </c>
      <c r="AB52" t="s">
        <v>85</v>
      </c>
      <c r="AC52">
        <v>16</v>
      </c>
      <c r="AD52">
        <v>45</v>
      </c>
      <c r="AE52">
        <v>23</v>
      </c>
      <c r="AF52">
        <f>AD52+AE52</f>
        <v>68</v>
      </c>
    </row>
    <row r="53" spans="4:32" x14ac:dyDescent="0.25">
      <c r="D53" t="s">
        <v>3</v>
      </c>
      <c r="E53" t="s">
        <v>89</v>
      </c>
      <c r="F53">
        <v>99.81</v>
      </c>
      <c r="G53">
        <v>18380</v>
      </c>
      <c r="H53">
        <v>0.63</v>
      </c>
      <c r="I53">
        <v>0.63</v>
      </c>
      <c r="J53">
        <v>1.89</v>
      </c>
      <c r="K53">
        <v>3.76</v>
      </c>
      <c r="L53">
        <v>6.86</v>
      </c>
      <c r="M53">
        <v>0.63</v>
      </c>
      <c r="N53">
        <v>0.63</v>
      </c>
      <c r="O53">
        <v>0.56999999999999995</v>
      </c>
      <c r="P53">
        <v>1.28</v>
      </c>
      <c r="Q53">
        <v>2.86</v>
      </c>
      <c r="R53">
        <v>3.51</v>
      </c>
      <c r="S53">
        <v>4.18</v>
      </c>
      <c r="T53">
        <v>1754791262.49</v>
      </c>
      <c r="U53">
        <v>118.74</v>
      </c>
      <c r="V53">
        <v>0.84</v>
      </c>
      <c r="W53" t="s">
        <v>115</v>
      </c>
      <c r="X53" t="s">
        <v>84</v>
      </c>
      <c r="Y53" t="s">
        <v>115</v>
      </c>
      <c r="Z53" t="s">
        <v>115</v>
      </c>
      <c r="AA53" t="s">
        <v>84</v>
      </c>
      <c r="AB53" t="s">
        <v>84</v>
      </c>
      <c r="AC53">
        <v>10</v>
      </c>
      <c r="AD53">
        <v>52</v>
      </c>
      <c r="AE53">
        <v>18</v>
      </c>
      <c r="AF53">
        <f>AD53+AE53</f>
        <v>70</v>
      </c>
    </row>
    <row r="54" spans="4:32" x14ac:dyDescent="0.25">
      <c r="D54" t="s">
        <v>25</v>
      </c>
      <c r="E54" t="s">
        <v>91</v>
      </c>
      <c r="F54">
        <v>131.97</v>
      </c>
      <c r="G54">
        <v>21501</v>
      </c>
      <c r="H54">
        <v>0.81</v>
      </c>
      <c r="I54">
        <v>0.61</v>
      </c>
      <c r="J54">
        <v>1.84</v>
      </c>
      <c r="K54">
        <v>3.54</v>
      </c>
      <c r="L54">
        <v>6.43</v>
      </c>
      <c r="M54">
        <v>0.61</v>
      </c>
      <c r="N54">
        <v>0.59</v>
      </c>
      <c r="O54">
        <v>0.54</v>
      </c>
      <c r="P54">
        <v>1.22</v>
      </c>
      <c r="Q54">
        <v>0.32</v>
      </c>
      <c r="R54">
        <v>0.93</v>
      </c>
      <c r="S54">
        <v>1.55</v>
      </c>
      <c r="T54">
        <v>3806712567.6900001</v>
      </c>
      <c r="U54">
        <v>157.58000000000001</v>
      </c>
      <c r="V54">
        <v>0.84</v>
      </c>
      <c r="W54" t="s">
        <v>104</v>
      </c>
      <c r="X54" t="s">
        <v>84</v>
      </c>
      <c r="Y54" t="s">
        <v>104</v>
      </c>
      <c r="Z54" t="s">
        <v>104</v>
      </c>
      <c r="AA54" t="s">
        <v>134</v>
      </c>
      <c r="AB54" t="s">
        <v>135</v>
      </c>
      <c r="AC54">
        <v>20</v>
      </c>
      <c r="AD54">
        <v>54</v>
      </c>
      <c r="AE54">
        <v>19</v>
      </c>
      <c r="AF54">
        <f>AD54+AE54</f>
        <v>73</v>
      </c>
    </row>
    <row r="55" spans="4:32" x14ac:dyDescent="0.25">
      <c r="D55" t="s">
        <v>20</v>
      </c>
      <c r="E55" t="s">
        <v>86</v>
      </c>
      <c r="F55">
        <v>108.19</v>
      </c>
      <c r="G55">
        <v>66079</v>
      </c>
      <c r="H55">
        <v>1.08</v>
      </c>
      <c r="I55">
        <v>0.99</v>
      </c>
      <c r="J55">
        <v>3.39</v>
      </c>
      <c r="K55">
        <v>6.55</v>
      </c>
      <c r="L55">
        <v>11.79</v>
      </c>
      <c r="M55">
        <v>1.1299999999999999</v>
      </c>
      <c r="N55">
        <v>1.0900000000000001</v>
      </c>
      <c r="O55">
        <v>0.98</v>
      </c>
      <c r="P55">
        <v>0.99</v>
      </c>
      <c r="Q55">
        <v>0</v>
      </c>
      <c r="R55">
        <v>0.99</v>
      </c>
      <c r="S55">
        <v>0.99</v>
      </c>
      <c r="T55">
        <v>3208708568.71</v>
      </c>
      <c r="U55">
        <v>97.1</v>
      </c>
      <c r="V55">
        <v>1.1100000000000001</v>
      </c>
      <c r="W55" t="s">
        <v>98</v>
      </c>
      <c r="X55" t="s">
        <v>84</v>
      </c>
      <c r="Y55" t="s">
        <v>98</v>
      </c>
      <c r="Z55" t="s">
        <v>98</v>
      </c>
      <c r="AA55" t="s">
        <v>85</v>
      </c>
      <c r="AB55" t="s">
        <v>85</v>
      </c>
      <c r="AC55">
        <v>0</v>
      </c>
      <c r="AD55">
        <v>19</v>
      </c>
      <c r="AE55">
        <v>55</v>
      </c>
      <c r="AF55">
        <f>AD55+AE55</f>
        <v>74</v>
      </c>
    </row>
    <row r="56" spans="4:32" x14ac:dyDescent="0.25">
      <c r="D56" t="s">
        <v>53</v>
      </c>
      <c r="E56" t="s">
        <v>82</v>
      </c>
      <c r="F56">
        <v>90.55</v>
      </c>
      <c r="G56">
        <v>26611</v>
      </c>
      <c r="H56">
        <v>0.6</v>
      </c>
      <c r="I56">
        <v>0.64</v>
      </c>
      <c r="J56">
        <v>2.12</v>
      </c>
      <c r="K56">
        <v>3.78</v>
      </c>
      <c r="L56">
        <v>5.91</v>
      </c>
      <c r="M56">
        <v>0.71</v>
      </c>
      <c r="N56">
        <v>0.63</v>
      </c>
      <c r="O56">
        <v>0.49</v>
      </c>
      <c r="P56">
        <v>0.64</v>
      </c>
      <c r="Q56">
        <v>0</v>
      </c>
      <c r="R56">
        <v>0.64</v>
      </c>
      <c r="S56">
        <v>0.64</v>
      </c>
      <c r="T56">
        <v>1900952211.4100001</v>
      </c>
      <c r="U56">
        <v>101.76</v>
      </c>
      <c r="V56">
        <v>0.89</v>
      </c>
      <c r="W56" t="s">
        <v>124</v>
      </c>
      <c r="X56" t="s">
        <v>84</v>
      </c>
      <c r="Y56" t="s">
        <v>124</v>
      </c>
      <c r="Z56" t="s">
        <v>124</v>
      </c>
      <c r="AA56" t="s">
        <v>123</v>
      </c>
      <c r="AB56" t="s">
        <v>85</v>
      </c>
      <c r="AC56">
        <v>13</v>
      </c>
      <c r="AD56">
        <v>51</v>
      </c>
      <c r="AE56">
        <v>27</v>
      </c>
      <c r="AF56">
        <f>AD56+AE56</f>
        <v>78</v>
      </c>
    </row>
    <row r="57" spans="4:32" x14ac:dyDescent="0.25">
      <c r="D57" t="s">
        <v>18</v>
      </c>
      <c r="E57" t="s">
        <v>91</v>
      </c>
      <c r="F57">
        <v>112.5</v>
      </c>
      <c r="G57">
        <v>26480</v>
      </c>
      <c r="H57">
        <v>0.76</v>
      </c>
      <c r="I57">
        <v>0.67</v>
      </c>
      <c r="J57">
        <v>1.98</v>
      </c>
      <c r="K57">
        <v>3.93</v>
      </c>
      <c r="L57">
        <v>7.6</v>
      </c>
      <c r="M57">
        <v>0.66</v>
      </c>
      <c r="N57">
        <v>0.65</v>
      </c>
      <c r="O57">
        <v>0.63</v>
      </c>
      <c r="P57">
        <v>1.34</v>
      </c>
      <c r="Q57">
        <v>-1.74</v>
      </c>
      <c r="R57">
        <v>-1.08</v>
      </c>
      <c r="S57">
        <v>-0.43</v>
      </c>
      <c r="T57">
        <v>2185580215.7800002</v>
      </c>
      <c r="U57">
        <v>118.74</v>
      </c>
      <c r="V57">
        <v>0.95</v>
      </c>
      <c r="W57" t="s">
        <v>126</v>
      </c>
      <c r="X57" t="s">
        <v>84</v>
      </c>
      <c r="Y57" t="s">
        <v>126</v>
      </c>
      <c r="Z57" t="s">
        <v>126</v>
      </c>
      <c r="AA57" t="s">
        <v>84</v>
      </c>
      <c r="AB57" t="s">
        <v>84</v>
      </c>
      <c r="AC57">
        <v>16</v>
      </c>
      <c r="AD57">
        <v>47</v>
      </c>
      <c r="AE57">
        <v>33</v>
      </c>
      <c r="AF57">
        <f>AD57+AE57</f>
        <v>80</v>
      </c>
    </row>
    <row r="58" spans="4:32" x14ac:dyDescent="0.25">
      <c r="D58" t="s">
        <v>32</v>
      </c>
      <c r="E58" t="s">
        <v>87</v>
      </c>
      <c r="F58">
        <v>87.94</v>
      </c>
      <c r="G58">
        <v>28368</v>
      </c>
      <c r="H58">
        <v>0.56000000000000005</v>
      </c>
      <c r="I58">
        <v>0.63</v>
      </c>
      <c r="J58">
        <v>1.87</v>
      </c>
      <c r="K58">
        <v>3.8</v>
      </c>
      <c r="L58">
        <v>7.21</v>
      </c>
      <c r="M58">
        <v>0.62</v>
      </c>
      <c r="N58">
        <v>0.63</v>
      </c>
      <c r="O58">
        <v>0.6</v>
      </c>
      <c r="P58">
        <v>0.63</v>
      </c>
      <c r="Q58">
        <v>0</v>
      </c>
      <c r="R58">
        <v>0.63</v>
      </c>
      <c r="S58">
        <v>0.63</v>
      </c>
      <c r="T58">
        <v>996715875.76999998</v>
      </c>
      <c r="U58">
        <v>99.28</v>
      </c>
      <c r="V58">
        <v>0.89</v>
      </c>
      <c r="W58" t="s">
        <v>105</v>
      </c>
      <c r="X58" t="s">
        <v>84</v>
      </c>
      <c r="Y58" t="s">
        <v>105</v>
      </c>
      <c r="Z58" t="s">
        <v>105</v>
      </c>
      <c r="AA58" t="s">
        <v>139</v>
      </c>
      <c r="AB58" t="s">
        <v>85</v>
      </c>
      <c r="AC58">
        <v>4</v>
      </c>
      <c r="AD58">
        <v>53</v>
      </c>
      <c r="AE58">
        <v>28</v>
      </c>
      <c r="AF58">
        <f>AD58+AE58</f>
        <v>81</v>
      </c>
    </row>
    <row r="59" spans="4:32" x14ac:dyDescent="0.25">
      <c r="D59" t="s">
        <v>5</v>
      </c>
      <c r="E59" t="s">
        <v>89</v>
      </c>
      <c r="F59">
        <v>102.81</v>
      </c>
      <c r="G59">
        <v>37953</v>
      </c>
      <c r="H59">
        <v>0.72</v>
      </c>
      <c r="I59">
        <v>0.7</v>
      </c>
      <c r="J59">
        <v>2.08</v>
      </c>
      <c r="K59">
        <v>4.1399999999999997</v>
      </c>
      <c r="L59">
        <v>7.75</v>
      </c>
      <c r="M59">
        <v>0.69</v>
      </c>
      <c r="N59">
        <v>0.69</v>
      </c>
      <c r="O59">
        <v>0.65</v>
      </c>
      <c r="P59">
        <v>0.7</v>
      </c>
      <c r="Q59">
        <v>0</v>
      </c>
      <c r="R59">
        <v>0.7</v>
      </c>
      <c r="S59">
        <v>0.7</v>
      </c>
      <c r="T59">
        <v>1508161155.3499999</v>
      </c>
      <c r="U59">
        <v>99.03</v>
      </c>
      <c r="V59">
        <v>1.04</v>
      </c>
      <c r="W59" t="s">
        <v>88</v>
      </c>
      <c r="X59" t="s">
        <v>84</v>
      </c>
      <c r="Y59" t="s">
        <v>88</v>
      </c>
      <c r="Z59" t="s">
        <v>88</v>
      </c>
      <c r="AA59" t="s">
        <v>85</v>
      </c>
      <c r="AB59" t="s">
        <v>117</v>
      </c>
      <c r="AC59">
        <v>16</v>
      </c>
      <c r="AD59">
        <v>41</v>
      </c>
      <c r="AE59">
        <v>48</v>
      </c>
      <c r="AF59">
        <f>AD59+AE59</f>
        <v>89</v>
      </c>
    </row>
    <row r="60" spans="4:32" x14ac:dyDescent="0.25">
      <c r="D60" t="s">
        <v>16</v>
      </c>
      <c r="E60" t="s">
        <v>89</v>
      </c>
      <c r="F60">
        <v>164.12</v>
      </c>
      <c r="G60">
        <v>26195</v>
      </c>
      <c r="H60">
        <v>1.1000000000000001</v>
      </c>
      <c r="I60">
        <v>0.66</v>
      </c>
      <c r="J60">
        <v>2.33</v>
      </c>
      <c r="K60">
        <v>4.34</v>
      </c>
      <c r="L60">
        <v>8.4600000000000009</v>
      </c>
      <c r="M60">
        <v>0.78</v>
      </c>
      <c r="N60">
        <v>0.72</v>
      </c>
      <c r="O60">
        <v>0.7</v>
      </c>
      <c r="P60">
        <v>1.31</v>
      </c>
      <c r="Q60">
        <v>-1.85</v>
      </c>
      <c r="R60">
        <v>-1.2</v>
      </c>
      <c r="S60">
        <v>-0.56000000000000005</v>
      </c>
      <c r="T60">
        <v>3139602936.75</v>
      </c>
      <c r="U60">
        <v>147.31</v>
      </c>
      <c r="V60">
        <v>1.1100000000000001</v>
      </c>
      <c r="W60" t="s">
        <v>102</v>
      </c>
      <c r="X60" t="s">
        <v>84</v>
      </c>
      <c r="Y60" t="s">
        <v>102</v>
      </c>
      <c r="Z60" t="s">
        <v>102</v>
      </c>
      <c r="AA60" t="s">
        <v>131</v>
      </c>
      <c r="AB60" t="s">
        <v>137</v>
      </c>
      <c r="AC60">
        <v>17</v>
      </c>
      <c r="AD60">
        <v>48</v>
      </c>
      <c r="AE60">
        <v>56</v>
      </c>
      <c r="AF60">
        <f>AD60+AE60</f>
        <v>104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HOME</vt:lpstr>
      <vt:lpstr>Inicial</vt:lpstr>
      <vt:lpstr>Resultados</vt:lpstr>
      <vt:lpstr>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Barbaro de Oliveira</dc:creator>
  <cp:lastModifiedBy>Gustavo Barbaro de Oliveira</cp:lastModifiedBy>
  <dcterms:created xsi:type="dcterms:W3CDTF">2022-02-04T18:44:22Z</dcterms:created>
  <dcterms:modified xsi:type="dcterms:W3CDTF">2022-03-06T02:03:20Z</dcterms:modified>
</cp:coreProperties>
</file>