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gusta\Desktop\Scraping com excel\"/>
    </mc:Choice>
  </mc:AlternateContent>
  <bookViews>
    <workbookView minimized="1" xWindow="0" yWindow="0" windowWidth="20490" windowHeight="7155" activeTab="1"/>
  </bookViews>
  <sheets>
    <sheet name="Inicial" sheetId="1" r:id="rId1"/>
    <sheet name="Raw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2" l="1"/>
</calcChain>
</file>

<file path=xl/sharedStrings.xml><?xml version="1.0" encoding="utf-8"?>
<sst xmlns="http://schemas.openxmlformats.org/spreadsheetml/2006/main" count="6663" uniqueCount="2117">
  <si>
    <t>ABCP11</t>
  </si>
  <si>
    <t>AFHI11</t>
  </si>
  <si>
    <t>AFOF11</t>
  </si>
  <si>
    <t>AIEC11</t>
  </si>
  <si>
    <t>ALMI11</t>
  </si>
  <si>
    <t>ALZR11</t>
  </si>
  <si>
    <t>APTO11</t>
  </si>
  <si>
    <t>ARCT11</t>
  </si>
  <si>
    <t>ARRI11</t>
  </si>
  <si>
    <t>ATSA11</t>
  </si>
  <si>
    <t>BARI11</t>
  </si>
  <si>
    <t>BBFI11B</t>
  </si>
  <si>
    <t>BBFO11</t>
  </si>
  <si>
    <t>BBIM11</t>
  </si>
  <si>
    <t>BBPO11</t>
  </si>
  <si>
    <t>BBRC11</t>
  </si>
  <si>
    <t>BCFF11</t>
  </si>
  <si>
    <t>BCIA11</t>
  </si>
  <si>
    <t>BCRI11</t>
  </si>
  <si>
    <t>BICE11</t>
  </si>
  <si>
    <t>BICR11</t>
  </si>
  <si>
    <t>BIME11</t>
  </si>
  <si>
    <t>BLCA11</t>
  </si>
  <si>
    <t>BLCP11</t>
  </si>
  <si>
    <t>BLMC11</t>
  </si>
  <si>
    <t>BLMG11</t>
  </si>
  <si>
    <t>BLMO11</t>
  </si>
  <si>
    <t>BLMR11</t>
  </si>
  <si>
    <t>BMLC11</t>
  </si>
  <si>
    <t>BNFS11</t>
  </si>
  <si>
    <t>BPFF11</t>
  </si>
  <si>
    <t>BPML11</t>
  </si>
  <si>
    <t>BRCO11</t>
  </si>
  <si>
    <t>BRCR11</t>
  </si>
  <si>
    <t>BREV11</t>
  </si>
  <si>
    <t>BRLA11</t>
  </si>
  <si>
    <t>BTAL11</t>
  </si>
  <si>
    <t>BTCR11</t>
  </si>
  <si>
    <t>BTLG11</t>
  </si>
  <si>
    <t>BTRA11</t>
  </si>
  <si>
    <t>BTSG11</t>
  </si>
  <si>
    <t>BTWR11</t>
  </si>
  <si>
    <t>BZLI11</t>
  </si>
  <si>
    <t>CACR11</t>
  </si>
  <si>
    <t>CARE11</t>
  </si>
  <si>
    <t>CBOP11</t>
  </si>
  <si>
    <t>CCRF11</t>
  </si>
  <si>
    <t>CEOC11</t>
  </si>
  <si>
    <t>CJCT11</t>
  </si>
  <si>
    <t>CNES11</t>
  </si>
  <si>
    <t>CORM11</t>
  </si>
  <si>
    <t>CPFF11</t>
  </si>
  <si>
    <t>CPTS11</t>
  </si>
  <si>
    <t>CRFF11</t>
  </si>
  <si>
    <t>CTXT11</t>
  </si>
  <si>
    <t>CVBI11</t>
  </si>
  <si>
    <t>CXCE11B</t>
  </si>
  <si>
    <t>CXCO11</t>
  </si>
  <si>
    <t>CXRI11</t>
  </si>
  <si>
    <t>CXTL11</t>
  </si>
  <si>
    <t>CYCR11</t>
  </si>
  <si>
    <t>DEVA11</t>
  </si>
  <si>
    <t>DRIT11B</t>
  </si>
  <si>
    <t>DVFF11</t>
  </si>
  <si>
    <t>EDFO11B</t>
  </si>
  <si>
    <t>EDGA11</t>
  </si>
  <si>
    <t>EQIN11</t>
  </si>
  <si>
    <t>EQIR11</t>
  </si>
  <si>
    <t>ERCR11</t>
  </si>
  <si>
    <t>EURO11</t>
  </si>
  <si>
    <t>EVBI11</t>
  </si>
  <si>
    <t>FAED11</t>
  </si>
  <si>
    <t>FAMB11B</t>
  </si>
  <si>
    <t>FATN11</t>
  </si>
  <si>
    <t>FCFL11</t>
  </si>
  <si>
    <t>FEXC11</t>
  </si>
  <si>
    <t>FIGS11</t>
  </si>
  <si>
    <t>FIIB11</t>
  </si>
  <si>
    <t>FIIP11B</t>
  </si>
  <si>
    <t>FISC11</t>
  </si>
  <si>
    <t>FIVN11</t>
  </si>
  <si>
    <t>FLCR11</t>
  </si>
  <si>
    <t>FLMA11</t>
  </si>
  <si>
    <t>FLRP11</t>
  </si>
  <si>
    <t>FMOF11</t>
  </si>
  <si>
    <t>FPAB11</t>
  </si>
  <si>
    <t>FVPQ11</t>
  </si>
  <si>
    <t>GALG11</t>
  </si>
  <si>
    <t>GAME11</t>
  </si>
  <si>
    <t>GCFF11</t>
  </si>
  <si>
    <t>GCRI11</t>
  </si>
  <si>
    <t>GESE11B</t>
  </si>
  <si>
    <t>GGRC11</t>
  </si>
  <si>
    <t>GSFI11</t>
  </si>
  <si>
    <t>GTLG11</t>
  </si>
  <si>
    <t>GTWR11</t>
  </si>
  <si>
    <t>HAAA11</t>
  </si>
  <si>
    <t>HABT11</t>
  </si>
  <si>
    <t>HBRH11</t>
  </si>
  <si>
    <t>HCHG11</t>
  </si>
  <si>
    <t>HCRI11</t>
  </si>
  <si>
    <t>HCTR11</t>
  </si>
  <si>
    <t>HFOF11</t>
  </si>
  <si>
    <t>HGBS11</t>
  </si>
  <si>
    <t>HGCR11</t>
  </si>
  <si>
    <t>HGFF11</t>
  </si>
  <si>
    <t>HGIC11</t>
  </si>
  <si>
    <t>HGLG11</t>
  </si>
  <si>
    <t>HGPO11</t>
  </si>
  <si>
    <t>HGRE11</t>
  </si>
  <si>
    <t>HGRS11</t>
  </si>
  <si>
    <t>HGRU11</t>
  </si>
  <si>
    <t>HLOG11</t>
  </si>
  <si>
    <t>HOSI11</t>
  </si>
  <si>
    <t>HPDP11</t>
  </si>
  <si>
    <t>HRDF11</t>
  </si>
  <si>
    <t>HREC11</t>
  </si>
  <si>
    <t>HSAF11</t>
  </si>
  <si>
    <t>HSLG11</t>
  </si>
  <si>
    <t>HSML11</t>
  </si>
  <si>
    <t>HSRE11</t>
  </si>
  <si>
    <t>HTMX11</t>
  </si>
  <si>
    <t>HUSC11</t>
  </si>
  <si>
    <t>IBCR11</t>
  </si>
  <si>
    <t>IBFF11</t>
  </si>
  <si>
    <t>IDFI11</t>
  </si>
  <si>
    <t>IRDM11</t>
  </si>
  <si>
    <t>IRIM11</t>
  </si>
  <si>
    <t>ITIP11</t>
  </si>
  <si>
    <t>ITIT11</t>
  </si>
  <si>
    <t>JFLL11</t>
  </si>
  <si>
    <t>JGPX11</t>
  </si>
  <si>
    <t>JPPA11</t>
  </si>
  <si>
    <t>JRDM11</t>
  </si>
  <si>
    <t>JSRE11</t>
  </si>
  <si>
    <t>KFOF11</t>
  </si>
  <si>
    <t>KINP11</t>
  </si>
  <si>
    <t>KISU11</t>
  </si>
  <si>
    <t>KNCR11</t>
  </si>
  <si>
    <t>KNHY11</t>
  </si>
  <si>
    <t>KNIP11</t>
  </si>
  <si>
    <t>KNRE11</t>
  </si>
  <si>
    <t>KNRI11</t>
  </si>
  <si>
    <t>KNSC11</t>
  </si>
  <si>
    <t>LASC11</t>
  </si>
  <si>
    <t>LFTT11</t>
  </si>
  <si>
    <t>LGCP11</t>
  </si>
  <si>
    <t>LUGG11</t>
  </si>
  <si>
    <t>LVBI11</t>
  </si>
  <si>
    <t>MALL11</t>
  </si>
  <si>
    <t>MATV11</t>
  </si>
  <si>
    <t>MAXR11</t>
  </si>
  <si>
    <t>MBRF11</t>
  </si>
  <si>
    <t>MCCI11</t>
  </si>
  <si>
    <t>MCHF11</t>
  </si>
  <si>
    <t>MCHY11</t>
  </si>
  <si>
    <t>MFAI11</t>
  </si>
  <si>
    <t>MFII11</t>
  </si>
  <si>
    <t>MGCR11</t>
  </si>
  <si>
    <t>MGFF11</t>
  </si>
  <si>
    <t>MGHT11</t>
  </si>
  <si>
    <t>MGLG11</t>
  </si>
  <si>
    <t>MORC11</t>
  </si>
  <si>
    <t>MORE11</t>
  </si>
  <si>
    <t>MXRF11</t>
  </si>
  <si>
    <t>NAVT11</t>
  </si>
  <si>
    <t>NEWL11</t>
  </si>
  <si>
    <t>NEWU11</t>
  </si>
  <si>
    <t>NSLU11</t>
  </si>
  <si>
    <t>NVHO11</t>
  </si>
  <si>
    <t>NVIF11B</t>
  </si>
  <si>
    <t>ONEF11</t>
  </si>
  <si>
    <t>ORPD11</t>
  </si>
  <si>
    <t>OUFF11</t>
  </si>
  <si>
    <t>OUJP11</t>
  </si>
  <si>
    <t>OULG11</t>
  </si>
  <si>
    <t>OURE11</t>
  </si>
  <si>
    <t>PABY11</t>
  </si>
  <si>
    <t>PATC11</t>
  </si>
  <si>
    <t>PATL11</t>
  </si>
  <si>
    <t>PLCR11</t>
  </si>
  <si>
    <t>PLOG11</t>
  </si>
  <si>
    <t>PLRI11</t>
  </si>
  <si>
    <t>PORD11</t>
  </si>
  <si>
    <t>PQAG11</t>
  </si>
  <si>
    <t>PQDP11</t>
  </si>
  <si>
    <t>PRSV11</t>
  </si>
  <si>
    <t>PVBI11</t>
  </si>
  <si>
    <t>QAGR11</t>
  </si>
  <si>
    <t>QAMI11</t>
  </si>
  <si>
    <t>QIRI11</t>
  </si>
  <si>
    <t>RBCO11</t>
  </si>
  <si>
    <t>RBDS11</t>
  </si>
  <si>
    <t>RBED11</t>
  </si>
  <si>
    <t>RBFF11</t>
  </si>
  <si>
    <t>RBGS11</t>
  </si>
  <si>
    <t>RBHG11</t>
  </si>
  <si>
    <t>RBHY11</t>
  </si>
  <si>
    <t>RBIR11</t>
  </si>
  <si>
    <t>RBLG11</t>
  </si>
  <si>
    <t>RBRD11</t>
  </si>
  <si>
    <t>RBRF11</t>
  </si>
  <si>
    <t>RBRL11</t>
  </si>
  <si>
    <t>RBRP11</t>
  </si>
  <si>
    <t>RBRR11</t>
  </si>
  <si>
    <t>RBRS11</t>
  </si>
  <si>
    <t>RBRY11</t>
  </si>
  <si>
    <t>RBVA11</t>
  </si>
  <si>
    <t>RBVO11</t>
  </si>
  <si>
    <t>RCRB11</t>
  </si>
  <si>
    <t>RDPD11</t>
  </si>
  <si>
    <t>RECR11</t>
  </si>
  <si>
    <t>RECT11</t>
  </si>
  <si>
    <t>RECX11</t>
  </si>
  <si>
    <t>RELG11</t>
  </si>
  <si>
    <t>RFOF11</t>
  </si>
  <si>
    <t>RMAI11</t>
  </si>
  <si>
    <t>RNDP11</t>
  </si>
  <si>
    <t>RNGO11</t>
  </si>
  <si>
    <t>RRCI11</t>
  </si>
  <si>
    <t>RVBI11</t>
  </si>
  <si>
    <t>RZAG11</t>
  </si>
  <si>
    <t>RZAK11</t>
  </si>
  <si>
    <t>RZTR11</t>
  </si>
  <si>
    <t>SADI11</t>
  </si>
  <si>
    <t>SARE11</t>
  </si>
  <si>
    <t>SCPF11</t>
  </si>
  <si>
    <t>SDIL11</t>
  </si>
  <si>
    <t>SEQR11</t>
  </si>
  <si>
    <t>SHPH11</t>
  </si>
  <si>
    <t>SNCI11</t>
  </si>
  <si>
    <t>SNFF11</t>
  </si>
  <si>
    <t>SPTW11</t>
  </si>
  <si>
    <t>SPVJ11</t>
  </si>
  <si>
    <t>STRX11</t>
  </si>
  <si>
    <t>TEPP11</t>
  </si>
  <si>
    <t>TGAR11</t>
  </si>
  <si>
    <t>TORD11</t>
  </si>
  <si>
    <t>TRNT11</t>
  </si>
  <si>
    <t>TRXF11</t>
  </si>
  <si>
    <t>URPR11</t>
  </si>
  <si>
    <t>VCJR11</t>
  </si>
  <si>
    <t>VCRR11</t>
  </si>
  <si>
    <t>VGHF11</t>
  </si>
  <si>
    <t>VGIP11</t>
  </si>
  <si>
    <t>VGIR11</t>
  </si>
  <si>
    <t>VIFI11</t>
  </si>
  <si>
    <t>VILG11</t>
  </si>
  <si>
    <t>VINO11</t>
  </si>
  <si>
    <t>VISC11</t>
  </si>
  <si>
    <t>VIUR11</t>
  </si>
  <si>
    <t>VJFD11</t>
  </si>
  <si>
    <t>VLOL11</t>
  </si>
  <si>
    <t>VOTS11</t>
  </si>
  <si>
    <t>VRTA11</t>
  </si>
  <si>
    <t>VSHO11</t>
  </si>
  <si>
    <t>VSLH11</t>
  </si>
  <si>
    <t>VTLT11</t>
  </si>
  <si>
    <t>VVPR11</t>
  </si>
  <si>
    <t>VXXV11</t>
  </si>
  <si>
    <t>WPLZ11</t>
  </si>
  <si>
    <t>WTSP11B</t>
  </si>
  <si>
    <t>XPCA11</t>
  </si>
  <si>
    <t>XPCI11</t>
  </si>
  <si>
    <t>XPCM11</t>
  </si>
  <si>
    <t>XPHT11</t>
  </si>
  <si>
    <t>XPIN11</t>
  </si>
  <si>
    <t>XPLG11</t>
  </si>
  <si>
    <t>XPML11</t>
  </si>
  <si>
    <t>XPPR11</t>
  </si>
  <si>
    <t>XPSF11</t>
  </si>
  <si>
    <t>XTED11</t>
  </si>
  <si>
    <t>YUFI11B</t>
  </si>
  <si>
    <t>Item:</t>
  </si>
  <si>
    <t>Nome</t>
  </si>
  <si>
    <t>Setor</t>
  </si>
  <si>
    <t>Preço Atual</t>
  </si>
  <si>
    <t>Liquidez Diária</t>
  </si>
  <si>
    <t>Dividendo</t>
  </si>
  <si>
    <t>Dividend Yield</t>
  </si>
  <si>
    <t>DY (3 meses) Acumulado</t>
  </si>
  <si>
    <t>DY (12 meses) Acumulado</t>
  </si>
  <si>
    <t>DY (6 meses) Acumulado</t>
  </si>
  <si>
    <t>DY (3 meses) Média</t>
  </si>
  <si>
    <t>DY (6 meses) Média</t>
  </si>
  <si>
    <t>DY (12 meses) Média</t>
  </si>
  <si>
    <t>DY ano (estranho)</t>
  </si>
  <si>
    <t>Variação de preço</t>
  </si>
  <si>
    <t>Rentabilidade no Período</t>
  </si>
  <si>
    <t>Rentabilidade Acumulada</t>
  </si>
  <si>
    <t>Patrimônio Líquido</t>
  </si>
  <si>
    <t>VPA</t>
  </si>
  <si>
    <t>P/VPA</t>
  </si>
  <si>
    <t>DY Patrimônial</t>
  </si>
  <si>
    <t>Variação Patrimonial</t>
  </si>
  <si>
    <t>Rentabilidade Patrimonial No Periodo</t>
  </si>
  <si>
    <t>Rentabilidade Patrimonial No Acumulada</t>
  </si>
  <si>
    <t>Vacância Fisica</t>
  </si>
  <si>
    <t>Vacância Financeira</t>
  </si>
  <si>
    <t>Quantidade de Ativos</t>
  </si>
  <si>
    <t>Legenda</t>
  </si>
  <si>
    <t>Shoppings</t>
  </si>
  <si>
    <t>R$ 0,77</t>
  </si>
  <si>
    <t>1,04%</t>
  </si>
  <si>
    <t>4,65%</t>
  </si>
  <si>
    <t>7,21%</t>
  </si>
  <si>
    <t>0,93%</t>
  </si>
  <si>
    <t>0,77%</t>
  </si>
  <si>
    <t>0,60%</t>
  </si>
  <si>
    <t>0,00%</t>
  </si>
  <si>
    <t>R$ 1.122.717.873,90</t>
  </si>
  <si>
    <t>R$ 92,00</t>
  </si>
  <si>
    <t>0,82</t>
  </si>
  <si>
    <t>N/A</t>
  </si>
  <si>
    <t>7,50%</t>
  </si>
  <si>
    <t>Títulos e Val. Mob.</t>
  </si>
  <si>
    <t>R$ 1,30</t>
  </si>
  <si>
    <t>1,28%</t>
  </si>
  <si>
    <t>6,88%</t>
  </si>
  <si>
    <t>1,26%</t>
  </si>
  <si>
    <t>1,15%</t>
  </si>
  <si>
    <t>8,45%</t>
  </si>
  <si>
    <t>3,35%</t>
  </si>
  <si>
    <t>4,68%</t>
  </si>
  <si>
    <t>15,29%</t>
  </si>
  <si>
    <t>R$ 175.960.340,60</t>
  </si>
  <si>
    <t>R$ 98,43</t>
  </si>
  <si>
    <t>1,03</t>
  </si>
  <si>
    <t>R$ 0,84</t>
  </si>
  <si>
    <t>0,98%</t>
  </si>
  <si>
    <t>13,60%</t>
  </si>
  <si>
    <t>1,02%</t>
  </si>
  <si>
    <t>2,27%</t>
  </si>
  <si>
    <t>4,84%</t>
  </si>
  <si>
    <t>4,69%</t>
  </si>
  <si>
    <t>5,71%</t>
  </si>
  <si>
    <t>-5,00%</t>
  </si>
  <si>
    <t>R$ 72.409.198,26</t>
  </si>
  <si>
    <t>R$ 104,76</t>
  </si>
  <si>
    <t>0,84</t>
  </si>
  <si>
    <t>Lajes Corporativas</t>
  </si>
  <si>
    <t>R$ 0,61</t>
  </si>
  <si>
    <t>0,78%</t>
  </si>
  <si>
    <t>4,82%</t>
  </si>
  <si>
    <t>8,74%</t>
  </si>
  <si>
    <t>0,83%</t>
  </si>
  <si>
    <t>0,80%</t>
  </si>
  <si>
    <t>0,73%</t>
  </si>
  <si>
    <t>R$ 491.127.002,75</t>
  </si>
  <si>
    <t>R$ 101,79</t>
  </si>
  <si>
    <t>0,77</t>
  </si>
  <si>
    <t>R$ 0,00</t>
  </si>
  <si>
    <t>-28,29%</t>
  </si>
  <si>
    <t>R$ 250.264.016,46</t>
  </si>
  <si>
    <t>R$ 2.251,04</t>
  </si>
  <si>
    <t>68,15%</t>
  </si>
  <si>
    <t>Logística</t>
  </si>
  <si>
    <t>R$ 0,75</t>
  </si>
  <si>
    <t>0,65%</t>
  </si>
  <si>
    <t>3,61%</t>
  </si>
  <si>
    <t>6,52%</t>
  </si>
  <si>
    <t>0,62%</t>
  </si>
  <si>
    <t>0,54%</t>
  </si>
  <si>
    <t>5,04%</t>
  </si>
  <si>
    <t>5,72%</t>
  </si>
  <si>
    <t>-6,73%</t>
  </si>
  <si>
    <t>R$ 642.677.411,67</t>
  </si>
  <si>
    <t>R$ 108,52</t>
  </si>
  <si>
    <t>1,07</t>
  </si>
  <si>
    <t>Híbrido</t>
  </si>
  <si>
    <t>R$ 0,09</t>
  </si>
  <si>
    <t>0,89%</t>
  </si>
  <si>
    <t>R$ 39.476.292,41</t>
  </si>
  <si>
    <t>R$ 9,84</t>
  </si>
  <si>
    <t>R$ 1,70</t>
  </si>
  <si>
    <t>1,58%</t>
  </si>
  <si>
    <t>7,52%</t>
  </si>
  <si>
    <t>16,32%</t>
  </si>
  <si>
    <t>1,56%</t>
  </si>
  <si>
    <t>1,25%</t>
  </si>
  <si>
    <t>1,36%</t>
  </si>
  <si>
    <t>5,37%</t>
  </si>
  <si>
    <t>7,03%</t>
  </si>
  <si>
    <t>-8,66%</t>
  </si>
  <si>
    <t>R$ 252.891.029,37</t>
  </si>
  <si>
    <t>R$ 100,79</t>
  </si>
  <si>
    <t>R$ 99,80</t>
  </si>
  <si>
    <t>R$ 1,31</t>
  </si>
  <si>
    <t>1,30%</t>
  </si>
  <si>
    <t>8,14%</t>
  </si>
  <si>
    <t>14,90%</t>
  </si>
  <si>
    <t>1,55%</t>
  </si>
  <si>
    <t>1,24%</t>
  </si>
  <si>
    <t>R$ 97.957.964,82</t>
  </si>
  <si>
    <t>R$ 93,44</t>
  </si>
  <si>
    <t>2,97%</t>
  </si>
  <si>
    <t>0,20%</t>
  </si>
  <si>
    <t>0,22%</t>
  </si>
  <si>
    <t>0,25%</t>
  </si>
  <si>
    <t>0,37%</t>
  </si>
  <si>
    <t>0,74%</t>
  </si>
  <si>
    <t>0,92%</t>
  </si>
  <si>
    <t>1,10%</t>
  </si>
  <si>
    <t>R$ 155.087.136,20</t>
  </si>
  <si>
    <t>R$ 88,56</t>
  </si>
  <si>
    <t>1,06</t>
  </si>
  <si>
    <t>21,10%</t>
  </si>
  <si>
    <t>R$ 1,10</t>
  </si>
  <si>
    <t>1,05%</t>
  </si>
  <si>
    <t>3,53%</t>
  </si>
  <si>
    <t>6,81%</t>
  </si>
  <si>
    <t>13,14%</t>
  </si>
  <si>
    <t>1,18%</t>
  </si>
  <si>
    <t>1,14%</t>
  </si>
  <si>
    <t>R$ 471.474.468,53</t>
  </si>
  <si>
    <t>R$ 101,74</t>
  </si>
  <si>
    <t>1,00</t>
  </si>
  <si>
    <t>R$ 24,02</t>
  </si>
  <si>
    <t>4,02%</t>
  </si>
  <si>
    <t>7,42%</t>
  </si>
  <si>
    <t>14,09%</t>
  </si>
  <si>
    <t>1,34%</t>
  </si>
  <si>
    <t>1,17%</t>
  </si>
  <si>
    <t>R$ 369.184.512,49</t>
  </si>
  <si>
    <t>R$ 2.839,88</t>
  </si>
  <si>
    <t>0,79</t>
  </si>
  <si>
    <t>40,44%</t>
  </si>
  <si>
    <t>R$ 0,81</t>
  </si>
  <si>
    <t>1,12%</t>
  </si>
  <si>
    <t>2,93%</t>
  </si>
  <si>
    <t>5,31%</t>
  </si>
  <si>
    <t>8,93%</t>
  </si>
  <si>
    <t>0,88%</t>
  </si>
  <si>
    <t>R$ 355.097.150,19</t>
  </si>
  <si>
    <t>R$ 88,69</t>
  </si>
  <si>
    <t>0,86</t>
  </si>
  <si>
    <t>R$ 0,30</t>
  </si>
  <si>
    <t>R$ 49.542.596,08</t>
  </si>
  <si>
    <t>R$ 47,87</t>
  </si>
  <si>
    <t>R$ 0,89</t>
  </si>
  <si>
    <t>0,95%</t>
  </si>
  <si>
    <t>2,89%</t>
  </si>
  <si>
    <t>5,41%</t>
  </si>
  <si>
    <t>11,04%</t>
  </si>
  <si>
    <t>0,96%</t>
  </si>
  <si>
    <t>0,90%</t>
  </si>
  <si>
    <t>R$ 1.525.488.938,32</t>
  </si>
  <si>
    <t>R$ 95,82</t>
  </si>
  <si>
    <t>0,96</t>
  </si>
  <si>
    <t>Outros</t>
  </si>
  <si>
    <t>R$ 0,90</t>
  </si>
  <si>
    <t>2,76%</t>
  </si>
  <si>
    <t>5,23%</t>
  </si>
  <si>
    <t>9,84%</t>
  </si>
  <si>
    <t>0,87%</t>
  </si>
  <si>
    <t>0,82%</t>
  </si>
  <si>
    <t>R$ 170.840.969,91</t>
  </si>
  <si>
    <t>R$ 107,45</t>
  </si>
  <si>
    <t>0,91</t>
  </si>
  <si>
    <t>5,40%</t>
  </si>
  <si>
    <t>2,10%</t>
  </si>
  <si>
    <t>R$ 0,54</t>
  </si>
  <si>
    <t>2,22%</t>
  </si>
  <si>
    <t>4,22%</t>
  </si>
  <si>
    <t>7,82%</t>
  </si>
  <si>
    <t>0,70%</t>
  </si>
  <si>
    <t>0,33%</t>
  </si>
  <si>
    <t>R$ 1.990.777.058,59</t>
  </si>
  <si>
    <t>R$ 79,04</t>
  </si>
  <si>
    <t>R$ 0,64</t>
  </si>
  <si>
    <t>2,28%</t>
  </si>
  <si>
    <t>4,50%</t>
  </si>
  <si>
    <t>8,36%</t>
  </si>
  <si>
    <t>0,76%</t>
  </si>
  <si>
    <t>0,75%</t>
  </si>
  <si>
    <t>R$ 394.781.222,12</t>
  </si>
  <si>
    <t>R$ 106,15</t>
  </si>
  <si>
    <t>0,80</t>
  </si>
  <si>
    <t>R$ 1,25</t>
  </si>
  <si>
    <t>1,13%</t>
  </si>
  <si>
    <t>3,48%</t>
  </si>
  <si>
    <t>6,57%</t>
  </si>
  <si>
    <t>13,16%</t>
  </si>
  <si>
    <t>1,16%</t>
  </si>
  <si>
    <t>R$ 667.242.431,60</t>
  </si>
  <si>
    <t>R$ 106,62</t>
  </si>
  <si>
    <t>1,02</t>
  </si>
  <si>
    <t>R$ 5,40</t>
  </si>
  <si>
    <t>R$ 10.012.117,86</t>
  </si>
  <si>
    <t>R$ 902,72</t>
  </si>
  <si>
    <t>R$ 0,48</t>
  </si>
  <si>
    <t>0,51%</t>
  </si>
  <si>
    <t>1,79%</t>
  </si>
  <si>
    <t>3,36%</t>
  </si>
  <si>
    <t>5,27%</t>
  </si>
  <si>
    <t>0,56%</t>
  </si>
  <si>
    <t>0,44%</t>
  </si>
  <si>
    <t>R$ 49.891.050,21</t>
  </si>
  <si>
    <t>R$ 99,78</t>
  </si>
  <si>
    <t>0,99</t>
  </si>
  <si>
    <t>R$ 0,10</t>
  </si>
  <si>
    <t>R$ 55.918.188,04</t>
  </si>
  <si>
    <t>R$ 9,57</t>
  </si>
  <si>
    <t>R$ 100,00</t>
  </si>
  <si>
    <t>R$ 0,53</t>
  </si>
  <si>
    <t>R$ 158.358.513,15</t>
  </si>
  <si>
    <t>R$ 98,97</t>
  </si>
  <si>
    <t>1,01</t>
  </si>
  <si>
    <t>R$ 82,00</t>
  </si>
  <si>
    <t>R$ 0,52</t>
  </si>
  <si>
    <t>1,33%</t>
  </si>
  <si>
    <t>3,02%</t>
  </si>
  <si>
    <t>6,84%</t>
  </si>
  <si>
    <t>0,50%</t>
  </si>
  <si>
    <t>0,57%</t>
  </si>
  <si>
    <t>9,80%</t>
  </si>
  <si>
    <t>10,48%</t>
  </si>
  <si>
    <t>-13,67%</t>
  </si>
  <si>
    <t>R$ 225.883.475,41</t>
  </si>
  <si>
    <t>R$ 98,37</t>
  </si>
  <si>
    <t>0,83</t>
  </si>
  <si>
    <t>7,90%</t>
  </si>
  <si>
    <t>R$ 1,12</t>
  </si>
  <si>
    <t>3,39%</t>
  </si>
  <si>
    <t>6,37%</t>
  </si>
  <si>
    <t>1,06%</t>
  </si>
  <si>
    <t>7,74%</t>
  </si>
  <si>
    <t>0,81%</t>
  </si>
  <si>
    <t>1,94%</t>
  </si>
  <si>
    <t>5,56%</t>
  </si>
  <si>
    <t>R$ 40.835.425,67</t>
  </si>
  <si>
    <t>R$ 102,22</t>
  </si>
  <si>
    <t>0,98</t>
  </si>
  <si>
    <t>0,94%</t>
  </si>
  <si>
    <t>-0,45%</t>
  </si>
  <si>
    <t>R$ 361.286.958,60</t>
  </si>
  <si>
    <t>R$ 94,81</t>
  </si>
  <si>
    <t>R$ 17,51</t>
  </si>
  <si>
    <t>R$ 99.413.657,94</t>
  </si>
  <si>
    <t>R$ 26.182,16</t>
  </si>
  <si>
    <t>R$ 0,08</t>
  </si>
  <si>
    <t>2,80%</t>
  </si>
  <si>
    <t>8,77%</t>
  </si>
  <si>
    <t>R$ 220.597.474,78</t>
  </si>
  <si>
    <t>R$ 8,64</t>
  </si>
  <si>
    <t>0,89</t>
  </si>
  <si>
    <t>2,50%</t>
  </si>
  <si>
    <t>4,39%</t>
  </si>
  <si>
    <t>7,96%</t>
  </si>
  <si>
    <t>0,66%</t>
  </si>
  <si>
    <t>3,34%</t>
  </si>
  <si>
    <t>2,04%</t>
  </si>
  <si>
    <t>R$ 109.109.578,30</t>
  </si>
  <si>
    <t>R$ 109,28</t>
  </si>
  <si>
    <t>1,03%</t>
  </si>
  <si>
    <t>3,15%</t>
  </si>
  <si>
    <t>5,92%</t>
  </si>
  <si>
    <t>11,10%</t>
  </si>
  <si>
    <t>0,99%</t>
  </si>
  <si>
    <t>R$ 68.816.692,76</t>
  </si>
  <si>
    <t>R$ 98,31</t>
  </si>
  <si>
    <t>R$ 0,60</t>
  </si>
  <si>
    <t>2,69%</t>
  </si>
  <si>
    <t>5,14%</t>
  </si>
  <si>
    <t>9,51%</t>
  </si>
  <si>
    <t>0,86%</t>
  </si>
  <si>
    <t>0,79%</t>
  </si>
  <si>
    <t>R$ 358.945.822,37</t>
  </si>
  <si>
    <t>R$ 79,90</t>
  </si>
  <si>
    <t>3,10%</t>
  </si>
  <si>
    <t>0,58%</t>
  </si>
  <si>
    <t>0,52%</t>
  </si>
  <si>
    <t>R$ 577.659.734,25</t>
  </si>
  <si>
    <t>R$ 134,18</t>
  </si>
  <si>
    <t>0,51</t>
  </si>
  <si>
    <t>5,80%</t>
  </si>
  <si>
    <t>R$ 0,63</t>
  </si>
  <si>
    <t>1,96%</t>
  </si>
  <si>
    <t>3,69%</t>
  </si>
  <si>
    <t>6,71%</t>
  </si>
  <si>
    <t>0,61%</t>
  </si>
  <si>
    <t>R$ 1.754.363.213,48</t>
  </si>
  <si>
    <t>R$ 118,71</t>
  </si>
  <si>
    <t>R$ 0,50</t>
  </si>
  <si>
    <t>2,13%</t>
  </si>
  <si>
    <t>7,29%</t>
  </si>
  <si>
    <t>0,71%</t>
  </si>
  <si>
    <t>3,05%</t>
  </si>
  <si>
    <t>R$ 2.820.482.616,00</t>
  </si>
  <si>
    <t>R$ 105,88</t>
  </si>
  <si>
    <t>0,67</t>
  </si>
  <si>
    <t>27,30%</t>
  </si>
  <si>
    <t>21,20%</t>
  </si>
  <si>
    <t>1,68%</t>
  </si>
  <si>
    <t>3,19%</t>
  </si>
  <si>
    <t>5,88%</t>
  </si>
  <si>
    <t>0,53%</t>
  </si>
  <si>
    <t>0,49%</t>
  </si>
  <si>
    <t>1,43%</t>
  </si>
  <si>
    <t>2,01%</t>
  </si>
  <si>
    <t>R$ 106.233.108,69</t>
  </si>
  <si>
    <t>R$ 109,84</t>
  </si>
  <si>
    <t>0,87</t>
  </si>
  <si>
    <t>R$ 150,00</t>
  </si>
  <si>
    <t>R$ 0,99</t>
  </si>
  <si>
    <t>2,02%</t>
  </si>
  <si>
    <t>0,67%</t>
  </si>
  <si>
    <t>0,34%</t>
  </si>
  <si>
    <t>0,17%</t>
  </si>
  <si>
    <t>-4,08%</t>
  </si>
  <si>
    <t>-3,41%</t>
  </si>
  <si>
    <t>-3,45%</t>
  </si>
  <si>
    <t>R$ 259.860.568,90</t>
  </si>
  <si>
    <t>R$ 160,35</t>
  </si>
  <si>
    <t>0,94</t>
  </si>
  <si>
    <t>R$ 0,83</t>
  </si>
  <si>
    <t>2,60%</t>
  </si>
  <si>
    <t>4,96%</t>
  </si>
  <si>
    <t>6,98%</t>
  </si>
  <si>
    <t>1,65%</t>
  </si>
  <si>
    <t>-1,73%</t>
  </si>
  <si>
    <t>R$ 619.008.357,28</t>
  </si>
  <si>
    <t>R$ 103,47</t>
  </si>
  <si>
    <t>2,83%</t>
  </si>
  <si>
    <t>9,48%</t>
  </si>
  <si>
    <t>2,06%</t>
  </si>
  <si>
    <t>3,06%</t>
  </si>
  <si>
    <t>R$ 472.571.529,91</t>
  </si>
  <si>
    <t>R$ 98,25</t>
  </si>
  <si>
    <t>0,93</t>
  </si>
  <si>
    <t>R$ 0,72</t>
  </si>
  <si>
    <t>0,68%</t>
  </si>
  <si>
    <t>2,08%</t>
  </si>
  <si>
    <t>4,10%</t>
  </si>
  <si>
    <t>7,55%</t>
  </si>
  <si>
    <t>0,69%</t>
  </si>
  <si>
    <t>0,63%</t>
  </si>
  <si>
    <t>1,54%</t>
  </si>
  <si>
    <t>2,23%</t>
  </si>
  <si>
    <t>-3,79%</t>
  </si>
  <si>
    <t>R$ 1.522.117.934,79</t>
  </si>
  <si>
    <t>R$ 99,95</t>
  </si>
  <si>
    <t>1,05</t>
  </si>
  <si>
    <t>2,00%</t>
  </si>
  <si>
    <t>R$ 99,73</t>
  </si>
  <si>
    <t>R$ 0,97</t>
  </si>
  <si>
    <t>4,29%</t>
  </si>
  <si>
    <t>0,72%</t>
  </si>
  <si>
    <t>4,30%</t>
  </si>
  <si>
    <t>5,02%</t>
  </si>
  <si>
    <t>1,11%</t>
  </si>
  <si>
    <t>R$ 347.627.495,51</t>
  </si>
  <si>
    <t>R$ 103,32</t>
  </si>
  <si>
    <t>0,97</t>
  </si>
  <si>
    <t>R$ 0,79</t>
  </si>
  <si>
    <t>R$ 103.256.536,54</t>
  </si>
  <si>
    <t>R$ 133,23</t>
  </si>
  <si>
    <t>R$ 107,00</t>
  </si>
  <si>
    <t>R$ 0,25</t>
  </si>
  <si>
    <t>R$ 87.750.674,52</t>
  </si>
  <si>
    <t>R$ 108,43</t>
  </si>
  <si>
    <t>12,00%</t>
  </si>
  <si>
    <t>R$ 14,70</t>
  </si>
  <si>
    <t>R$ 432.739.853,66</t>
  </si>
  <si>
    <t>R$ 10,89</t>
  </si>
  <si>
    <t>1,35</t>
  </si>
  <si>
    <t>R$ 1,50</t>
  </si>
  <si>
    <t>1,40%</t>
  </si>
  <si>
    <t>7,68%</t>
  </si>
  <si>
    <t>13,81%</t>
  </si>
  <si>
    <t>R$ 153.985.328,53</t>
  </si>
  <si>
    <t>R$ 101,69</t>
  </si>
  <si>
    <t>1,04</t>
  </si>
  <si>
    <t>0,23%</t>
  </si>
  <si>
    <t>1,60%</t>
  </si>
  <si>
    <t>0,13%</t>
  </si>
  <si>
    <t>-2,63%</t>
  </si>
  <si>
    <t>-2,41%</t>
  </si>
  <si>
    <t>5,65%</t>
  </si>
  <si>
    <t>R$ 284.489.229,68</t>
  </si>
  <si>
    <t>R$ 7,95</t>
  </si>
  <si>
    <t>R$ 0,49</t>
  </si>
  <si>
    <t>5,60%</t>
  </si>
  <si>
    <t>7,84%</t>
  </si>
  <si>
    <t>11,80%</t>
  </si>
  <si>
    <t>1,87%</t>
  </si>
  <si>
    <t>1,31%</t>
  </si>
  <si>
    <t>R$ 128.523.568,51</t>
  </si>
  <si>
    <t>R$ 90,83</t>
  </si>
  <si>
    <t>33,59%</t>
  </si>
  <si>
    <t>44,95%</t>
  </si>
  <si>
    <t>R$ 1,32</t>
  </si>
  <si>
    <t>-0,96%</t>
  </si>
  <si>
    <t>R$ 159.507.086,30</t>
  </si>
  <si>
    <t>R$ 101,47</t>
  </si>
  <si>
    <t>R$ 0,43</t>
  </si>
  <si>
    <t>2,36%</t>
  </si>
  <si>
    <t>8,37%</t>
  </si>
  <si>
    <t>5,46%</t>
  </si>
  <si>
    <t>R$ 164.239.530,65</t>
  </si>
  <si>
    <t>R$ 90,46</t>
  </si>
  <si>
    <t>0,64</t>
  </si>
  <si>
    <t>R$ 186.084.028,74</t>
  </si>
  <si>
    <t>R$ 64,84</t>
  </si>
  <si>
    <t>59,00%</t>
  </si>
  <si>
    <t>R$ 0,14</t>
  </si>
  <si>
    <t>0,43%</t>
  </si>
  <si>
    <t>1,07%</t>
  </si>
  <si>
    <t>2,12%</t>
  </si>
  <si>
    <t>3,31%</t>
  </si>
  <si>
    <t>0,36%</t>
  </si>
  <si>
    <t>0,35%</t>
  </si>
  <si>
    <t>0,28%</t>
  </si>
  <si>
    <t>-4,88%</t>
  </si>
  <si>
    <t>-4,47%</t>
  </si>
  <si>
    <t>-35,01%</t>
  </si>
  <si>
    <t>R$ 255.435.601,04</t>
  </si>
  <si>
    <t>R$ 86,61</t>
  </si>
  <si>
    <t>56,70%</t>
  </si>
  <si>
    <t>R$ 1,06</t>
  </si>
  <si>
    <t>3,14%</t>
  </si>
  <si>
    <t>6,15%</t>
  </si>
  <si>
    <t>7,18%</t>
  </si>
  <si>
    <t>-2,56%</t>
  </si>
  <si>
    <t>-1,54%</t>
  </si>
  <si>
    <t>-0,39%</t>
  </si>
  <si>
    <t>R$ 87.692.661,80</t>
  </si>
  <si>
    <t>R$ 95,60</t>
  </si>
  <si>
    <t>5,01%</t>
  </si>
  <si>
    <t>10,75%</t>
  </si>
  <si>
    <t>-0,74%</t>
  </si>
  <si>
    <t>-8,28%</t>
  </si>
  <si>
    <t>R$ 432.234.278,18</t>
  </si>
  <si>
    <t>R$ 79,31</t>
  </si>
  <si>
    <t>0,90</t>
  </si>
  <si>
    <t>3,17%</t>
  </si>
  <si>
    <t>6,20%</t>
  </si>
  <si>
    <t>12,26%</t>
  </si>
  <si>
    <t>0,02%</t>
  </si>
  <si>
    <t>7,32%</t>
  </si>
  <si>
    <t>R$ 2.646.336.850,54</t>
  </si>
  <si>
    <t>R$ 94,60</t>
  </si>
  <si>
    <t>R$ 0,51</t>
  </si>
  <si>
    <t>3,81%</t>
  </si>
  <si>
    <t>7,33%</t>
  </si>
  <si>
    <t>0,76</t>
  </si>
  <si>
    <t>0,39%</t>
  </si>
  <si>
    <t>5,53%</t>
  </si>
  <si>
    <t>0,26%</t>
  </si>
  <si>
    <t>0,46%</t>
  </si>
  <si>
    <t>-2,58%</t>
  </si>
  <si>
    <t>-2,20%</t>
  </si>
  <si>
    <t>-39,31%</t>
  </si>
  <si>
    <t>R$ 112.402.752,34</t>
  </si>
  <si>
    <t>R$ 43,33</t>
  </si>
  <si>
    <t>97,00%</t>
  </si>
  <si>
    <t>1,09%</t>
  </si>
  <si>
    <t>6,31%</t>
  </si>
  <si>
    <t>12,24%</t>
  </si>
  <si>
    <t>6,90%</t>
  </si>
  <si>
    <t>R$ 1.051.732.082,10</t>
  </si>
  <si>
    <t>R$ 100,01</t>
  </si>
  <si>
    <t>R$ 0,37</t>
  </si>
  <si>
    <t>2,54%</t>
  </si>
  <si>
    <t>6,39%</t>
  </si>
  <si>
    <t>12,66%</t>
  </si>
  <si>
    <t>0,85%</t>
  </si>
  <si>
    <t>R$ 110.977.715,16</t>
  </si>
  <si>
    <t>R$ 64,79</t>
  </si>
  <si>
    <t>R$ 0,65</t>
  </si>
  <si>
    <t>2,52%</t>
  </si>
  <si>
    <t>4,66%</t>
  </si>
  <si>
    <t>0,84%</t>
  </si>
  <si>
    <t>R$ 377.734.785,34</t>
  </si>
  <si>
    <t>R$ 96,25</t>
  </si>
  <si>
    <t>2,20%</t>
  </si>
  <si>
    <t>4,08%</t>
  </si>
  <si>
    <t>7,48%</t>
  </si>
  <si>
    <t>1,32%</t>
  </si>
  <si>
    <t>0,24%</t>
  </si>
  <si>
    <t>R$ 37.044.254,22</t>
  </si>
  <si>
    <t>R$ 691,16</t>
  </si>
  <si>
    <t>0,45</t>
  </si>
  <si>
    <t>61,00%</t>
  </si>
  <si>
    <t>R$ 1,15</t>
  </si>
  <si>
    <t>R$ 57.736.984,12</t>
  </si>
  <si>
    <t>R$ 94,68</t>
  </si>
  <si>
    <t>R$ 103,15</t>
  </si>
  <si>
    <t>R$ 1,35</t>
  </si>
  <si>
    <t>7,97%</t>
  </si>
  <si>
    <t>2,65%</t>
  </si>
  <si>
    <t>4,00%</t>
  </si>
  <si>
    <t>R$ 1.347.212.876,56</t>
  </si>
  <si>
    <t>R$ 96,88</t>
  </si>
  <si>
    <t>R$ 0,33</t>
  </si>
  <si>
    <t>0,27%</t>
  </si>
  <si>
    <t>5,78%</t>
  </si>
  <si>
    <t>6,07%</t>
  </si>
  <si>
    <t>-7,42%</t>
  </si>
  <si>
    <t>10,47%</t>
  </si>
  <si>
    <t>R$ 0,70</t>
  </si>
  <si>
    <t>2,59%</t>
  </si>
  <si>
    <t>R$ 101.203.645,63</t>
  </si>
  <si>
    <t>R$ 91,92</t>
  </si>
  <si>
    <t>R$ 215,00</t>
  </si>
  <si>
    <t>R$ 1,40</t>
  </si>
  <si>
    <t>7,07%</t>
  </si>
  <si>
    <t>0,59%</t>
  </si>
  <si>
    <t>R$ 45.622.746,90</t>
  </si>
  <si>
    <t>R$ 193,32</t>
  </si>
  <si>
    <t>1,11</t>
  </si>
  <si>
    <t>7,10%</t>
  </si>
  <si>
    <t>0,38%</t>
  </si>
  <si>
    <t>2,33%</t>
  </si>
  <si>
    <t>5,99%</t>
  </si>
  <si>
    <t>1,46%</t>
  </si>
  <si>
    <t>1,84%</t>
  </si>
  <si>
    <t>-21,34%</t>
  </si>
  <si>
    <t>R$ 252.486.482,69</t>
  </si>
  <si>
    <t>R$ 66,23</t>
  </si>
  <si>
    <t>0,33</t>
  </si>
  <si>
    <t>49,59%</t>
  </si>
  <si>
    <t>1,00%</t>
  </si>
  <si>
    <t>3,50%</t>
  </si>
  <si>
    <t>6,33%</t>
  </si>
  <si>
    <t>0,97%</t>
  </si>
  <si>
    <t>R$ 139.997.733,91</t>
  </si>
  <si>
    <t>R$ 96,35</t>
  </si>
  <si>
    <t>0,95</t>
  </si>
  <si>
    <t>R$ 1,07</t>
  </si>
  <si>
    <t>R$ 51.382.055,69</t>
  </si>
  <si>
    <t>R$ 102,25</t>
  </si>
  <si>
    <t>R$ 76.000,00</t>
  </si>
  <si>
    <t>R$ 1,03</t>
  </si>
  <si>
    <t>R$ 174.398.096,11</t>
  </si>
  <si>
    <t>R$ 73.399,87</t>
  </si>
  <si>
    <t>R$ 1,72</t>
  </si>
  <si>
    <t>2,51%</t>
  </si>
  <si>
    <t>4,72%</t>
  </si>
  <si>
    <t>8,68%</t>
  </si>
  <si>
    <t>R$ 119.833.855,36</t>
  </si>
  <si>
    <t>R$ 312,12</t>
  </si>
  <si>
    <t>R$ 94,00</t>
  </si>
  <si>
    <t>R$ 0,95</t>
  </si>
  <si>
    <t>1,01%</t>
  </si>
  <si>
    <t>2,44%</t>
  </si>
  <si>
    <t>7,47%</t>
  </si>
  <si>
    <t>-1,57%</t>
  </si>
  <si>
    <t>-0,58%</t>
  </si>
  <si>
    <t>R$ 140.392.080,47</t>
  </si>
  <si>
    <t>R$ 100,44</t>
  </si>
  <si>
    <t>8,89%</t>
  </si>
  <si>
    <t>R$ 138.835.182,09</t>
  </si>
  <si>
    <t>R$ 216,20</t>
  </si>
  <si>
    <t>R$ 9,16</t>
  </si>
  <si>
    <t>2,17%</t>
  </si>
  <si>
    <t>4,78%</t>
  </si>
  <si>
    <t>10,43%</t>
  </si>
  <si>
    <t>8,82%</t>
  </si>
  <si>
    <t>-47,80%</t>
  </si>
  <si>
    <t>-47,51%</t>
  </si>
  <si>
    <t>R$ 328.194.839,13</t>
  </si>
  <si>
    <t>R$ 3.131,63</t>
  </si>
  <si>
    <t>0,29</t>
  </si>
  <si>
    <t>3,78%</t>
  </si>
  <si>
    <t>0,18%</t>
  </si>
  <si>
    <t>100,00%</t>
  </si>
  <si>
    <t>R$ 82.067.157,50</t>
  </si>
  <si>
    <t>R$ 101,18</t>
  </si>
  <si>
    <t>R$ 0,82</t>
  </si>
  <si>
    <t>4,25%</t>
  </si>
  <si>
    <t>7,62%</t>
  </si>
  <si>
    <t>10,38%</t>
  </si>
  <si>
    <t>11,19%</t>
  </si>
  <si>
    <t>6,26%</t>
  </si>
  <si>
    <t>R$ 363.922.446,39</t>
  </si>
  <si>
    <t>1,08</t>
  </si>
  <si>
    <t>R$ 571.393.942,82</t>
  </si>
  <si>
    <t>R$ 93,62</t>
  </si>
  <si>
    <t>0,92</t>
  </si>
  <si>
    <t>3,55%</t>
  </si>
  <si>
    <t>R$ 284.138.014,47</t>
  </si>
  <si>
    <t>R$ 99,70</t>
  </si>
  <si>
    <t>11,90%</t>
  </si>
  <si>
    <t>R$ 3,20</t>
  </si>
  <si>
    <t>2,25%</t>
  </si>
  <si>
    <t>4,37%</t>
  </si>
  <si>
    <t>8,28%</t>
  </si>
  <si>
    <t>0,64%</t>
  </si>
  <si>
    <t>-3,76%</t>
  </si>
  <si>
    <t>R$ 313.595.503,14</t>
  </si>
  <si>
    <t>R$ 457,80</t>
  </si>
  <si>
    <t>6,28%</t>
  </si>
  <si>
    <t>2,34%</t>
  </si>
  <si>
    <t>4,54%</t>
  </si>
  <si>
    <t>8,18%</t>
  </si>
  <si>
    <t>R$ 185.759.454,51</t>
  </si>
  <si>
    <t>R$ 200,35</t>
  </si>
  <si>
    <t>R$ 165,00</t>
  </si>
  <si>
    <t>R$ 0,22</t>
  </si>
  <si>
    <t>R$ 251.458.437,24</t>
  </si>
  <si>
    <t>R$ 153,06</t>
  </si>
  <si>
    <t>R$ 65.805.766,28</t>
  </si>
  <si>
    <t>R$ 6,99</t>
  </si>
  <si>
    <t>56,00%</t>
  </si>
  <si>
    <t>R$ 1,77</t>
  </si>
  <si>
    <t>1,73%</t>
  </si>
  <si>
    <t>4,67%</t>
  </si>
  <si>
    <t>2,46%</t>
  </si>
  <si>
    <t>R$ 50.185.828,63</t>
  </si>
  <si>
    <t>R$ 100,37</t>
  </si>
  <si>
    <t>R$ 0,80</t>
  </si>
  <si>
    <t>2,75%</t>
  </si>
  <si>
    <t>0,40%</t>
  </si>
  <si>
    <t>R$ 216.308.774,34</t>
  </si>
  <si>
    <t>R$ 156,67</t>
  </si>
  <si>
    <t>0,75</t>
  </si>
  <si>
    <t>11,00%</t>
  </si>
  <si>
    <t>R$ 8,52</t>
  </si>
  <si>
    <t>1,76%</t>
  </si>
  <si>
    <t>5,47%</t>
  </si>
  <si>
    <t>3,76%</t>
  </si>
  <si>
    <t>4,47%</t>
  </si>
  <si>
    <t>-0,04%</t>
  </si>
  <si>
    <t>R$ 108.777.317,33</t>
  </si>
  <si>
    <t>R$ 1.667,55</t>
  </si>
  <si>
    <t>0,71</t>
  </si>
  <si>
    <t>R$ 65,10</t>
  </si>
  <si>
    <t>R$ 62.344.380,89</t>
  </si>
  <si>
    <t>R$ 122,72</t>
  </si>
  <si>
    <t>0,53</t>
  </si>
  <si>
    <t>50,00%</t>
  </si>
  <si>
    <t>R$ 1,45</t>
  </si>
  <si>
    <t>1,98%</t>
  </si>
  <si>
    <t>6,45%</t>
  </si>
  <si>
    <t>R$ 306.999.081,09</t>
  </si>
  <si>
    <t>R$ 409,33</t>
  </si>
  <si>
    <t>0,54</t>
  </si>
  <si>
    <t>36,63%</t>
  </si>
  <si>
    <t>R$ 1,04</t>
  </si>
  <si>
    <t>3,56%</t>
  </si>
  <si>
    <t>5,96%</t>
  </si>
  <si>
    <t>R$ 556.565.913,49</t>
  </si>
  <si>
    <t>R$ 198,76</t>
  </si>
  <si>
    <t>2,48%</t>
  </si>
  <si>
    <t>4,86%</t>
  </si>
  <si>
    <t>9,38%</t>
  </si>
  <si>
    <t>2,94%</t>
  </si>
  <si>
    <t>1,80%</t>
  </si>
  <si>
    <t>R$ 558.924.528,85</t>
  </si>
  <si>
    <t>R$ 99,58</t>
  </si>
  <si>
    <t>R$ 1,08</t>
  </si>
  <si>
    <t>R$ 203.504.869,33</t>
  </si>
  <si>
    <t>R$ 98,79</t>
  </si>
  <si>
    <t>R$ 78,00</t>
  </si>
  <si>
    <t>2,90%</t>
  </si>
  <si>
    <t>5,45%</t>
  </si>
  <si>
    <t>10,81%</t>
  </si>
  <si>
    <t>0,91%</t>
  </si>
  <si>
    <t>3,26%</t>
  </si>
  <si>
    <t>4,34%</t>
  </si>
  <si>
    <t>-9,97%</t>
  </si>
  <si>
    <t>R$ 30.939.254,59</t>
  </si>
  <si>
    <t>R$ 91,37</t>
  </si>
  <si>
    <t>0,85</t>
  </si>
  <si>
    <t>R$ 1,38</t>
  </si>
  <si>
    <t>1,39%</t>
  </si>
  <si>
    <t>3,57%</t>
  </si>
  <si>
    <t>6,63%</t>
  </si>
  <si>
    <t>1,19%</t>
  </si>
  <si>
    <t>9,52%</t>
  </si>
  <si>
    <t>2,42%</t>
  </si>
  <si>
    <t>R$ 100.208.755,09</t>
  </si>
  <si>
    <t>R$ 100,18</t>
  </si>
  <si>
    <t>R$ 1.520,00</t>
  </si>
  <si>
    <t>R$ 12,60</t>
  </si>
  <si>
    <t>R$ 86.417.369,89</t>
  </si>
  <si>
    <t>R$ 1.661,87</t>
  </si>
  <si>
    <t>R$ 0,87</t>
  </si>
  <si>
    <t>4,32%</t>
  </si>
  <si>
    <t>R$ 1.023.742.704,72</t>
  </si>
  <si>
    <t>R$ 131,95</t>
  </si>
  <si>
    <t>0,03%</t>
  </si>
  <si>
    <t>0,01%</t>
  </si>
  <si>
    <t>R$ 1.011.611.502,01</t>
  </si>
  <si>
    <t>R$ 13,45</t>
  </si>
  <si>
    <t>9,50%</t>
  </si>
  <si>
    <t>R$ 707.276.465,63</t>
  </si>
  <si>
    <t>R$ 98,60</t>
  </si>
  <si>
    <t>R$ 0,74</t>
  </si>
  <si>
    <t>2,63%</t>
  </si>
  <si>
    <t>4,94%</t>
  </si>
  <si>
    <t>R$ 1.181.864.977,66</t>
  </si>
  <si>
    <t>R$ 98,49</t>
  </si>
  <si>
    <t>R$ 96,00</t>
  </si>
  <si>
    <t>1,71%</t>
  </si>
  <si>
    <t>R$ 324.092.881,44</t>
  </si>
  <si>
    <t>R$ 93,80</t>
  </si>
  <si>
    <t>9,90%</t>
  </si>
  <si>
    <t>R$ 1,20</t>
  </si>
  <si>
    <t>1,08%</t>
  </si>
  <si>
    <t>3,60%</t>
  </si>
  <si>
    <t>7,40%</t>
  </si>
  <si>
    <t>15,39%</t>
  </si>
  <si>
    <t>1,20%</t>
  </si>
  <si>
    <t>1,23%</t>
  </si>
  <si>
    <t>R$ 724.348.467,47</t>
  </si>
  <si>
    <t>R$ 97,59</t>
  </si>
  <si>
    <t>5,55%</t>
  </si>
  <si>
    <t>R$ 311.940.949,65</t>
  </si>
  <si>
    <t>R$ 112,52</t>
  </si>
  <si>
    <t>R$ 88,48</t>
  </si>
  <si>
    <t>4,61%</t>
  </si>
  <si>
    <t>R$ 115.467.331,86</t>
  </si>
  <si>
    <t>R$ 96,22</t>
  </si>
  <si>
    <t>Hospital</t>
  </si>
  <si>
    <t>R$ 3,08</t>
  </si>
  <si>
    <t>8,86%</t>
  </si>
  <si>
    <t>-15,24%</t>
  </si>
  <si>
    <t>R$ 60.978.098,87</t>
  </si>
  <si>
    <t>R$ 304,89</t>
  </si>
  <si>
    <t>1,13</t>
  </si>
  <si>
    <t>R$ 2,50</t>
  </si>
  <si>
    <t>2,35%</t>
  </si>
  <si>
    <t>8,79%</t>
  </si>
  <si>
    <t>-11,48%</t>
  </si>
  <si>
    <t>-10,83%</t>
  </si>
  <si>
    <t>-25,02%</t>
  </si>
  <si>
    <t>R$ 1,60</t>
  </si>
  <si>
    <t>3,85%</t>
  </si>
  <si>
    <t>7,69%</t>
  </si>
  <si>
    <t>15,55%</t>
  </si>
  <si>
    <t>R$ 2.387.196.759,76</t>
  </si>
  <si>
    <t>R$ 117,52</t>
  </si>
  <si>
    <t>2,26%</t>
  </si>
  <si>
    <t>7,93%</t>
  </si>
  <si>
    <t>R$ 1.994.343.584,43</t>
  </si>
  <si>
    <t>R$ 86,76</t>
  </si>
  <si>
    <t>1,92%</t>
  </si>
  <si>
    <t>3,29%</t>
  </si>
  <si>
    <t>4,81%</t>
  </si>
  <si>
    <t>0,55%</t>
  </si>
  <si>
    <t>R$ 2.143.159.688,71</t>
  </si>
  <si>
    <t>R$ 214,32</t>
  </si>
  <si>
    <t>0,78</t>
  </si>
  <si>
    <t>6,70%</t>
  </si>
  <si>
    <t>3,08%</t>
  </si>
  <si>
    <t>5,50%</t>
  </si>
  <si>
    <t>10,22%</t>
  </si>
  <si>
    <t>R$ 1.268.610.704,46</t>
  </si>
  <si>
    <t>R$ 102,54</t>
  </si>
  <si>
    <t>R$ 0,58</t>
  </si>
  <si>
    <t>4,41%</t>
  </si>
  <si>
    <t>8,01%</t>
  </si>
  <si>
    <t>R$ 262.480.054,46</t>
  </si>
  <si>
    <t>R$ 91,66</t>
  </si>
  <si>
    <t>5,69%</t>
  </si>
  <si>
    <t>R$ 27.510.587,86</t>
  </si>
  <si>
    <t>R$ 106,99</t>
  </si>
  <si>
    <t>4,36%</t>
  </si>
  <si>
    <t>8,23%</t>
  </si>
  <si>
    <t>R$ 3.156.088.176,65</t>
  </si>
  <si>
    <t>R$ 148,08</t>
  </si>
  <si>
    <t>7,20%</t>
  </si>
  <si>
    <t>6,50%</t>
  </si>
  <si>
    <t>1,69%</t>
  </si>
  <si>
    <t>3,38%</t>
  </si>
  <si>
    <t>6,54%</t>
  </si>
  <si>
    <t>R$ 469.812.255,83</t>
  </si>
  <si>
    <t>R$ 268,00</t>
  </si>
  <si>
    <t>4,99%</t>
  </si>
  <si>
    <t>R$ 0,69</t>
  </si>
  <si>
    <t>3,12%</t>
  </si>
  <si>
    <t>4,71%</t>
  </si>
  <si>
    <t>8,20%</t>
  </si>
  <si>
    <t>R$ 1.949.751.010,85</t>
  </si>
  <si>
    <t>R$ 164,98</t>
  </si>
  <si>
    <t>26,77%</t>
  </si>
  <si>
    <t>30,07%</t>
  </si>
  <si>
    <t>Residencial</t>
  </si>
  <si>
    <t>R$ 111.909.130,17</t>
  </si>
  <si>
    <t>R$ 93,70</t>
  </si>
  <si>
    <t>R$ 0,76</t>
  </si>
  <si>
    <t>1,97%</t>
  </si>
  <si>
    <t>3,87%</t>
  </si>
  <si>
    <t>7,46%</t>
  </si>
  <si>
    <t>R$ 2.185.021.309,02</t>
  </si>
  <si>
    <t>3,82%</t>
  </si>
  <si>
    <t>7,11%</t>
  </si>
  <si>
    <t>R$ 479.268.643,67</t>
  </si>
  <si>
    <t>R$ 112,77</t>
  </si>
  <si>
    <t>7,76%</t>
  </si>
  <si>
    <t>R$ 52.996.711,07</t>
  </si>
  <si>
    <t>R$ 92,42</t>
  </si>
  <si>
    <t>R$ 80,00</t>
  </si>
  <si>
    <t>R$ 0,45</t>
  </si>
  <si>
    <t>3,01%</t>
  </si>
  <si>
    <t>R$ 275.896.915,88</t>
  </si>
  <si>
    <t>R$ 94,85</t>
  </si>
  <si>
    <t>R$ 6,80</t>
  </si>
  <si>
    <t>R$ 10.116.613,03</t>
  </si>
  <si>
    <t>R$ 1,33</t>
  </si>
  <si>
    <t>3,04%</t>
  </si>
  <si>
    <t>5,28%</t>
  </si>
  <si>
    <t>10,39%</t>
  </si>
  <si>
    <t>R$ 266.575.447,96</t>
  </si>
  <si>
    <t>R$ 93,67</t>
  </si>
  <si>
    <t>12,68%</t>
  </si>
  <si>
    <t>R$ 170.274.904,76</t>
  </si>
  <si>
    <t>3,98%</t>
  </si>
  <si>
    <t>7,24%</t>
  </si>
  <si>
    <t>R$ 1.428.239.437,19</t>
  </si>
  <si>
    <t>R$ 112,81</t>
  </si>
  <si>
    <t>R$ 0,55</t>
  </si>
  <si>
    <t>4,04%</t>
  </si>
  <si>
    <t>R$ 1.508.445.585,89</t>
  </si>
  <si>
    <t>R$ 95,59</t>
  </si>
  <si>
    <t>R$ 99,00</t>
  </si>
  <si>
    <t>R$ 0,56</t>
  </si>
  <si>
    <t>3,73%</t>
  </si>
  <si>
    <t>R$ 827.718.748,36</t>
  </si>
  <si>
    <t>R$ 97,17</t>
  </si>
  <si>
    <t>Hotel</t>
  </si>
  <si>
    <t>0,45%</t>
  </si>
  <si>
    <t>-28,14%</t>
  </si>
  <si>
    <t>-32,26%</t>
  </si>
  <si>
    <t>R$ 157.077.737,90</t>
  </si>
  <si>
    <t>R$ 124,96</t>
  </si>
  <si>
    <t>36,00%</t>
  </si>
  <si>
    <t>R$ 0,40</t>
  </si>
  <si>
    <t>1,35%</t>
  </si>
  <si>
    <t>3,32%</t>
  </si>
  <si>
    <t>6,65%</t>
  </si>
  <si>
    <t>R$ 113.166.728,66</t>
  </si>
  <si>
    <t>R$ 142,42</t>
  </si>
  <si>
    <t>1,45%</t>
  </si>
  <si>
    <t>8,38%</t>
  </si>
  <si>
    <t>R$ 79.447.521,22</t>
  </si>
  <si>
    <t>R$ 98,95</t>
  </si>
  <si>
    <t>2,58%</t>
  </si>
  <si>
    <t>8,42%</t>
  </si>
  <si>
    <t>-17,65%</t>
  </si>
  <si>
    <t>R$ 50.937.396,97</t>
  </si>
  <si>
    <t>R$ 76,40</t>
  </si>
  <si>
    <t>R$ 208.595.695,44</t>
  </si>
  <si>
    <t>R$ 101,36</t>
  </si>
  <si>
    <t>R$ 1,43</t>
  </si>
  <si>
    <t>3,67%</t>
  </si>
  <si>
    <t>6,55%</t>
  </si>
  <si>
    <t>11,72%</t>
  </si>
  <si>
    <t>1,22%</t>
  </si>
  <si>
    <t>3,84%</t>
  </si>
  <si>
    <t>5,21%</t>
  </si>
  <si>
    <t>-17,06%</t>
  </si>
  <si>
    <t>R$ 3.240.393.426,43</t>
  </si>
  <si>
    <t>R$ 98,06</t>
  </si>
  <si>
    <t>1,12</t>
  </si>
  <si>
    <t>3,83%</t>
  </si>
  <si>
    <t>3,88%</t>
  </si>
  <si>
    <t>R$ 132.147.323,49</t>
  </si>
  <si>
    <t>R$ 101,65</t>
  </si>
  <si>
    <t>R$ 1,01</t>
  </si>
  <si>
    <t>6,62%</t>
  </si>
  <si>
    <t>R$ 66.908.551,03</t>
  </si>
  <si>
    <t>R$ 89,43</t>
  </si>
  <si>
    <t>2,19%</t>
  </si>
  <si>
    <t>4,11%</t>
  </si>
  <si>
    <t>R$ 74.942.876,77</t>
  </si>
  <si>
    <t>R$ 83,22</t>
  </si>
  <si>
    <t>R$ 0,62</t>
  </si>
  <si>
    <t>4,95%</t>
  </si>
  <si>
    <t>R$ 149.192.045,36</t>
  </si>
  <si>
    <t>R$ 99,42</t>
  </si>
  <si>
    <t>29,00%</t>
  </si>
  <si>
    <t>R$ 1,05</t>
  </si>
  <si>
    <t>R$ 87.932.534,79</t>
  </si>
  <si>
    <t>R$ 95,05</t>
  </si>
  <si>
    <t>3,90%</t>
  </si>
  <si>
    <t>13,05%</t>
  </si>
  <si>
    <t>R$ 63.119.237,69</t>
  </si>
  <si>
    <t>R$ 104,51</t>
  </si>
  <si>
    <t>2,88%</t>
  </si>
  <si>
    <t>0,48%</t>
  </si>
  <si>
    <t>0,41%</t>
  </si>
  <si>
    <t>R$ 220.426.046,66</t>
  </si>
  <si>
    <t>R$ 87,37</t>
  </si>
  <si>
    <t>2,95%</t>
  </si>
  <si>
    <t>R$ 2.364.109.157,37</t>
  </si>
  <si>
    <t>R$ 113,84</t>
  </si>
  <si>
    <t>0,68</t>
  </si>
  <si>
    <t>13,10%</t>
  </si>
  <si>
    <t>11,70%</t>
  </si>
  <si>
    <t>2,31%</t>
  </si>
  <si>
    <t>4,43%</t>
  </si>
  <si>
    <t>R$ 434.162.955,34</t>
  </si>
  <si>
    <t>R$ 95,77</t>
  </si>
  <si>
    <t>R$ 0,35</t>
  </si>
  <si>
    <t>R$ 52.276.733,66</t>
  </si>
  <si>
    <t>R$ 7,31</t>
  </si>
  <si>
    <t>R$ 0,07</t>
  </si>
  <si>
    <t>8,26%</t>
  </si>
  <si>
    <t>R$ 412.682.158,61</t>
  </si>
  <si>
    <t>R$ 9,34</t>
  </si>
  <si>
    <t>3,95%</t>
  </si>
  <si>
    <t>6,21%</t>
  </si>
  <si>
    <t>R$ 3.945.642.616,58</t>
  </si>
  <si>
    <t>R$ 100,92</t>
  </si>
  <si>
    <t>4,01%</t>
  </si>
  <si>
    <t>7,51%</t>
  </si>
  <si>
    <t>13,70%</t>
  </si>
  <si>
    <t>R$ 1.420.712.754,91</t>
  </si>
  <si>
    <t>R$ 99,41</t>
  </si>
  <si>
    <t>R$ 1,36</t>
  </si>
  <si>
    <t>4,20%</t>
  </si>
  <si>
    <t>7,83%</t>
  </si>
  <si>
    <t>13,69%</t>
  </si>
  <si>
    <t>R$ 7.061.331.137,79</t>
  </si>
  <si>
    <t>R$ 99,27</t>
  </si>
  <si>
    <t>R$ 34.758.255,84</t>
  </si>
  <si>
    <t>R$ 1,87</t>
  </si>
  <si>
    <t>0,44</t>
  </si>
  <si>
    <t>3,44%</t>
  </si>
  <si>
    <t>R$ 3.811.917.192,28</t>
  </si>
  <si>
    <t>R$ 157,80</t>
  </si>
  <si>
    <t>2,07%</t>
  </si>
  <si>
    <t>6,80%</t>
  </si>
  <si>
    <t>4,14%</t>
  </si>
  <si>
    <t>7,86%</t>
  </si>
  <si>
    <t>13,48%</t>
  </si>
  <si>
    <t>1,38%</t>
  </si>
  <si>
    <t>R$ 718.051.475,99</t>
  </si>
  <si>
    <t>R$ 90,47</t>
  </si>
  <si>
    <t>R$ 0,36</t>
  </si>
  <si>
    <t>1,63%</t>
  </si>
  <si>
    <t>R$ 283.276.103,44</t>
  </si>
  <si>
    <t>R$ 112,49</t>
  </si>
  <si>
    <t>3,20%</t>
  </si>
  <si>
    <t>R$ 423.481.720,72</t>
  </si>
  <si>
    <t>R$ 59,44</t>
  </si>
  <si>
    <t>R$ 0,59</t>
  </si>
  <si>
    <t>4,06%</t>
  </si>
  <si>
    <t>R$ 278.904.751,80</t>
  </si>
  <si>
    <t>R$ 102,06</t>
  </si>
  <si>
    <t>3,51%</t>
  </si>
  <si>
    <t>6,72%</t>
  </si>
  <si>
    <t>R$ 112.474.520,83</t>
  </si>
  <si>
    <t>R$ 124,97</t>
  </si>
  <si>
    <t>0,70</t>
  </si>
  <si>
    <t>R$ 0,71</t>
  </si>
  <si>
    <t>7,17%</t>
  </si>
  <si>
    <t>-1,37%</t>
  </si>
  <si>
    <t>-0,67%</t>
  </si>
  <si>
    <t>-7,45%</t>
  </si>
  <si>
    <t>R$ 1.351.927.259,60</t>
  </si>
  <si>
    <t>R$ 114,81</t>
  </si>
  <si>
    <t>2,16%</t>
  </si>
  <si>
    <t>3,99%</t>
  </si>
  <si>
    <t>R$ 109,72</t>
  </si>
  <si>
    <t>1,21%</t>
  </si>
  <si>
    <t>R$ 34.289.358,69</t>
  </si>
  <si>
    <t>R$ 98,74</t>
  </si>
  <si>
    <t>2,41%</t>
  </si>
  <si>
    <t>5,73%</t>
  </si>
  <si>
    <t>8,50%</t>
  </si>
  <si>
    <t>R$ 135.304.378,59</t>
  </si>
  <si>
    <t>R$ 120,20</t>
  </si>
  <si>
    <t>R$ 9,50</t>
  </si>
  <si>
    <t>3,72%</t>
  </si>
  <si>
    <t>R$ 113.428.869,55</t>
  </si>
  <si>
    <t>R$ 1.115,72</t>
  </si>
  <si>
    <t>0,62</t>
  </si>
  <si>
    <t>R$ 1,00</t>
  </si>
  <si>
    <t>5,89%</t>
  </si>
  <si>
    <t>10,45%</t>
  </si>
  <si>
    <t>11,07%</t>
  </si>
  <si>
    <t>R$ 1.215.907.590,31</t>
  </si>
  <si>
    <t>R$ 97,92</t>
  </si>
  <si>
    <t>R$ 0,12</t>
  </si>
  <si>
    <t>-0,20%</t>
  </si>
  <si>
    <t>R$ 90.855.755,84</t>
  </si>
  <si>
    <t>R$ 10,94</t>
  </si>
  <si>
    <t>R$ 119,98</t>
  </si>
  <si>
    <t>4,44%</t>
  </si>
  <si>
    <t>13,50%</t>
  </si>
  <si>
    <t>R$ 363.602.380,70</t>
  </si>
  <si>
    <t>R$ 102,80</t>
  </si>
  <si>
    <t>1,17</t>
  </si>
  <si>
    <t>R$ 0,98</t>
  </si>
  <si>
    <t>3,54%</t>
  </si>
  <si>
    <t>5,93%</t>
  </si>
  <si>
    <t>10,74%</t>
  </si>
  <si>
    <t>R$ 24.864.912,55</t>
  </si>
  <si>
    <t>R$ 82,02</t>
  </si>
  <si>
    <t>R$ 1,18</t>
  </si>
  <si>
    <t>3,37%</t>
  </si>
  <si>
    <t>6,53%</t>
  </si>
  <si>
    <t>11,52%</t>
  </si>
  <si>
    <t>R$ 417.300.264,11</t>
  </si>
  <si>
    <t>R$ 100,63</t>
  </si>
  <si>
    <t>3,21%</t>
  </si>
  <si>
    <t>5,86%</t>
  </si>
  <si>
    <t>10,87%</t>
  </si>
  <si>
    <t>4,79%</t>
  </si>
  <si>
    <t>R$ 137.327.919,11</t>
  </si>
  <si>
    <t>R$ 96,55</t>
  </si>
  <si>
    <t>9,01%</t>
  </si>
  <si>
    <t>R$ 713.300.572,99</t>
  </si>
  <si>
    <t>R$ 78,81</t>
  </si>
  <si>
    <t>2,72%</t>
  </si>
  <si>
    <t>8,83%</t>
  </si>
  <si>
    <t>6,67%</t>
  </si>
  <si>
    <t>-2,17%</t>
  </si>
  <si>
    <t>R$ 131.018.947,00</t>
  </si>
  <si>
    <t>0,88</t>
  </si>
  <si>
    <t>R$ 111.873.871,51</t>
  </si>
  <si>
    <t>2,55%</t>
  </si>
  <si>
    <t>R$ 79.208.257,14</t>
  </si>
  <si>
    <t>R$ 101,56</t>
  </si>
  <si>
    <t>2,66%</t>
  </si>
  <si>
    <t>5,42%</t>
  </si>
  <si>
    <t>-24,92%</t>
  </si>
  <si>
    <t>R$ 211.406.854,86</t>
  </si>
  <si>
    <t>R$ 91,16</t>
  </si>
  <si>
    <t>5,18%</t>
  </si>
  <si>
    <t>R$ 2.321.102.708,40</t>
  </si>
  <si>
    <t>R$ 10,27</t>
  </si>
  <si>
    <t>2,47%</t>
  </si>
  <si>
    <t>4,15%</t>
  </si>
  <si>
    <t>-13,35%</t>
  </si>
  <si>
    <t>R$ 97.435.373,81</t>
  </si>
  <si>
    <t>R$ 92,40</t>
  </si>
  <si>
    <t>2,91%</t>
  </si>
  <si>
    <t>10,37%</t>
  </si>
  <si>
    <t>R$ 235.152.808,21</t>
  </si>
  <si>
    <t>R$ 115,66</t>
  </si>
  <si>
    <t>R$ 32,88</t>
  </si>
  <si>
    <t>16,63%</t>
  </si>
  <si>
    <t>0,09%</t>
  </si>
  <si>
    <t>-4,04%</t>
  </si>
  <si>
    <t>-31,62%</t>
  </si>
  <si>
    <t>R$ 45.918.648,78</t>
  </si>
  <si>
    <t>R$ 61,88</t>
  </si>
  <si>
    <t>63,20%</t>
  </si>
  <si>
    <t>R$ 1,51</t>
  </si>
  <si>
    <t>-5,47%</t>
  </si>
  <si>
    <t>-4,83%</t>
  </si>
  <si>
    <t>-9,84%</t>
  </si>
  <si>
    <t>R$ 249.602.180,19</t>
  </si>
  <si>
    <t>R$ 218,03</t>
  </si>
  <si>
    <t>R$ 0,02</t>
  </si>
  <si>
    <t>1,52%</t>
  </si>
  <si>
    <t>6,24%</t>
  </si>
  <si>
    <t>R$ 527.758.066,30</t>
  </si>
  <si>
    <t>R$ 12,72</t>
  </si>
  <si>
    <t>R$ 85.719.503,48</t>
  </si>
  <si>
    <t>R$ 254,06</t>
  </si>
  <si>
    <t>R$ 0,86</t>
  </si>
  <si>
    <t>R$ 159.164.173,48</t>
  </si>
  <si>
    <t>R$ 174,71</t>
  </si>
  <si>
    <t>R$ 128,79</t>
  </si>
  <si>
    <t>R$ 44.218.407,47</t>
  </si>
  <si>
    <t>R$ 152,48</t>
  </si>
  <si>
    <t>R$ 0,67</t>
  </si>
  <si>
    <t>10,12%</t>
  </si>
  <si>
    <t>-1,38%</t>
  </si>
  <si>
    <t>-9,28%</t>
  </si>
  <si>
    <t>R$ 147.821.445,27</t>
  </si>
  <si>
    <t>R$ 81,47</t>
  </si>
  <si>
    <t>3,42%</t>
  </si>
  <si>
    <t>6,48%</t>
  </si>
  <si>
    <t>10,60%</t>
  </si>
  <si>
    <t>R$ 331.030.710,86</t>
  </si>
  <si>
    <t>R$ 101,78</t>
  </si>
  <si>
    <t>5,15%</t>
  </si>
  <si>
    <t>9,30%</t>
  </si>
  <si>
    <t>3,49%</t>
  </si>
  <si>
    <t>-24,56%</t>
  </si>
  <si>
    <t>R$ 183.176.183,14</t>
  </si>
  <si>
    <t>R$ 73,82</t>
  </si>
  <si>
    <t>R$ 1,16</t>
  </si>
  <si>
    <t>11,92%</t>
  </si>
  <si>
    <t>1,29%</t>
  </si>
  <si>
    <t>R$ 100.363.668,32</t>
  </si>
  <si>
    <t>R$ 93,18</t>
  </si>
  <si>
    <t>-19,84%</t>
  </si>
  <si>
    <t>R$ -7.949.662,93</t>
  </si>
  <si>
    <t>R$ -10,48</t>
  </si>
  <si>
    <t>-0,86</t>
  </si>
  <si>
    <t>5,48%</t>
  </si>
  <si>
    <t>0,47%</t>
  </si>
  <si>
    <t>R$ 300.836.500,38</t>
  </si>
  <si>
    <t>R$ 86,51</t>
  </si>
  <si>
    <t>21,90%</t>
  </si>
  <si>
    <t>22,70%</t>
  </si>
  <si>
    <t>2,43%</t>
  </si>
  <si>
    <t>4,85%</t>
  </si>
  <si>
    <t>8,70%</t>
  </si>
  <si>
    <t>R$ 489.595.317,27</t>
  </si>
  <si>
    <t>R$ 98,09</t>
  </si>
  <si>
    <t>6,56%</t>
  </si>
  <si>
    <t>11,95%</t>
  </si>
  <si>
    <t>R$ 195.937.545,58</t>
  </si>
  <si>
    <t>R$ 92,90</t>
  </si>
  <si>
    <t>R$ 0,78</t>
  </si>
  <si>
    <t>5,66%</t>
  </si>
  <si>
    <t>R$ 74.524.074,15</t>
  </si>
  <si>
    <t>R$ 99,37</t>
  </si>
  <si>
    <t>20,40%</t>
  </si>
  <si>
    <t>2,74%</t>
  </si>
  <si>
    <t>R$ 41.384.472,49</t>
  </si>
  <si>
    <t>R$ 43,37</t>
  </si>
  <si>
    <t>R$ 1,17</t>
  </si>
  <si>
    <t>3,59%</t>
  </si>
  <si>
    <t>6,40%</t>
  </si>
  <si>
    <t>11,79%</t>
  </si>
  <si>
    <t>R$ 370.483.839,84</t>
  </si>
  <si>
    <t>R$ 0,39</t>
  </si>
  <si>
    <t>R$ 795.749.050,15</t>
  </si>
  <si>
    <t>R$ 56,87</t>
  </si>
  <si>
    <t>R$ 9,04</t>
  </si>
  <si>
    <t>5,61%</t>
  </si>
  <si>
    <t>4,27%</t>
  </si>
  <si>
    <t>-18,36%</t>
  </si>
  <si>
    <t>R$ 812.414.024,20</t>
  </si>
  <si>
    <t>R$ 3.406,68</t>
  </si>
  <si>
    <t>R$ 1,62</t>
  </si>
  <si>
    <t>0,42%</t>
  </si>
  <si>
    <t>1,53%</t>
  </si>
  <si>
    <t>5,95%</t>
  </si>
  <si>
    <t>4,46%</t>
  </si>
  <si>
    <t>5,30%</t>
  </si>
  <si>
    <t>5,74%</t>
  </si>
  <si>
    <t>-11,25%</t>
  </si>
  <si>
    <t>R$ 46.558.614,44</t>
  </si>
  <si>
    <t>R$ 238,76</t>
  </si>
  <si>
    <t>0,49</t>
  </si>
  <si>
    <t>40,90%</t>
  </si>
  <si>
    <t>1,88%</t>
  </si>
  <si>
    <t>7,09%</t>
  </si>
  <si>
    <t>-8,76%</t>
  </si>
  <si>
    <t>-8,17%</t>
  </si>
  <si>
    <t>-4,72%</t>
  </si>
  <si>
    <t>R$ 997.225.783,64</t>
  </si>
  <si>
    <t>R$ 99,33</t>
  </si>
  <si>
    <t>0,10%</t>
  </si>
  <si>
    <t>2,32%</t>
  </si>
  <si>
    <t>4,58%</t>
  </si>
  <si>
    <t>9,07%</t>
  </si>
  <si>
    <t>R$ 301.164.497,72</t>
  </si>
  <si>
    <t>R$ 59,75</t>
  </si>
  <si>
    <t>R$ 1,26</t>
  </si>
  <si>
    <t>1,27%</t>
  </si>
  <si>
    <t>8,43%</t>
  </si>
  <si>
    <t>1,49%</t>
  </si>
  <si>
    <t>R$ 73.023.182,14</t>
  </si>
  <si>
    <t>R$ 91,12</t>
  </si>
  <si>
    <t>3,91%</t>
  </si>
  <si>
    <t>R$ 13.503.706,62</t>
  </si>
  <si>
    <t>R$ 90,02</t>
  </si>
  <si>
    <t>2,15%</t>
  </si>
  <si>
    <t>4,51%</t>
  </si>
  <si>
    <t>R$ 378.738.232,01</t>
  </si>
  <si>
    <t>R$ 100,22</t>
  </si>
  <si>
    <t>46,00%</t>
  </si>
  <si>
    <t>R$ 3.235.360,28</t>
  </si>
  <si>
    <t>R$ 25,57</t>
  </si>
  <si>
    <t>2,62%</t>
  </si>
  <si>
    <t>4,97%</t>
  </si>
  <si>
    <t>9,23%</t>
  </si>
  <si>
    <t>R$ 285.897.124,09</t>
  </si>
  <si>
    <t>R$ 141,42</t>
  </si>
  <si>
    <t>R$ 0,47</t>
  </si>
  <si>
    <t>2,57%</t>
  </si>
  <si>
    <t>9,14%</t>
  </si>
  <si>
    <t>R$ 253.219.830,88</t>
  </si>
  <si>
    <t>R$ 67,54</t>
  </si>
  <si>
    <t>R$ 28,45</t>
  </si>
  <si>
    <t>R$ 0,18</t>
  </si>
  <si>
    <t>1,59%</t>
  </si>
  <si>
    <t>2,73%</t>
  </si>
  <si>
    <t>5,12%</t>
  </si>
  <si>
    <t>-1,90%</t>
  </si>
  <si>
    <t>-1,29%</t>
  </si>
  <si>
    <t>-28,71%</t>
  </si>
  <si>
    <t>R$ 97.865.283,71</t>
  </si>
  <si>
    <t>R$ 90,78</t>
  </si>
  <si>
    <t>0,31</t>
  </si>
  <si>
    <t>13,00%</t>
  </si>
  <si>
    <t>12,21%</t>
  </si>
  <si>
    <t>R$ 165.363.721,21</t>
  </si>
  <si>
    <t>R$ 95,72</t>
  </si>
  <si>
    <t>4,60%</t>
  </si>
  <si>
    <t>R$ 153.973.051,71</t>
  </si>
  <si>
    <t>R$ 97,35</t>
  </si>
  <si>
    <t>R$ 147.159.201,42</t>
  </si>
  <si>
    <t>R$ 96,27</t>
  </si>
  <si>
    <t>4,88%</t>
  </si>
  <si>
    <t>3,18%</t>
  </si>
  <si>
    <t>-11,41%</t>
  </si>
  <si>
    <t>R$ 66.825.500,17</t>
  </si>
  <si>
    <t>R$ 104,38</t>
  </si>
  <si>
    <t>0,21%</t>
  </si>
  <si>
    <t>R$ 133.675.336,89</t>
  </si>
  <si>
    <t>R$ 72,19</t>
  </si>
  <si>
    <t>15,52%</t>
  </si>
  <si>
    <t>4,77%</t>
  </si>
  <si>
    <t>4,31%</t>
  </si>
  <si>
    <t>5,16%</t>
  </si>
  <si>
    <t>-18,09%</t>
  </si>
  <si>
    <t>R$ 1.194.884.791,18</t>
  </si>
  <si>
    <t>R$ 87,34</t>
  </si>
  <si>
    <t>R$ 0,85</t>
  </si>
  <si>
    <t>2,67%</t>
  </si>
  <si>
    <t>R$ 718.503.950,56</t>
  </si>
  <si>
    <t>R$ 0,46</t>
  </si>
  <si>
    <t>R$ 1.024.046.383,21</t>
  </si>
  <si>
    <t>R$ 84,08</t>
  </si>
  <si>
    <t>10,00%</t>
  </si>
  <si>
    <t>5,00%</t>
  </si>
  <si>
    <t>R$ 1.043.340.841,05</t>
  </si>
  <si>
    <t>R$ 100,69</t>
  </si>
  <si>
    <t>R$ 0,42</t>
  </si>
  <si>
    <t>1,91%</t>
  </si>
  <si>
    <t>3,70%</t>
  </si>
  <si>
    <t>R$ 129.844.879,35</t>
  </si>
  <si>
    <t>R$ 93,45</t>
  </si>
  <si>
    <t>R$ 1,34</t>
  </si>
  <si>
    <t>10,23%</t>
  </si>
  <si>
    <t>8,90%</t>
  </si>
  <si>
    <t>R$ 354.981.935,25</t>
  </si>
  <si>
    <t>R$ 104,49</t>
  </si>
  <si>
    <t>R$ 0,92</t>
  </si>
  <si>
    <t>R$ 1.214.799.658,16</t>
  </si>
  <si>
    <t>R$ 104,83</t>
  </si>
  <si>
    <t>R$ 0,05</t>
  </si>
  <si>
    <t>2,11%</t>
  </si>
  <si>
    <t>R$ 11.981.470,71</t>
  </si>
  <si>
    <t>R$ 23,23</t>
  </si>
  <si>
    <t>R$ 726.184.354,90</t>
  </si>
  <si>
    <t>R$ 196,76</t>
  </si>
  <si>
    <t>14,40%</t>
  </si>
  <si>
    <t>4,74%</t>
  </si>
  <si>
    <t>8,84%</t>
  </si>
  <si>
    <t>R$ 64.314.048,67</t>
  </si>
  <si>
    <t>R$ 59,66</t>
  </si>
  <si>
    <t>R$ 2.311.895.011,83</t>
  </si>
  <si>
    <t>R$ 95,30</t>
  </si>
  <si>
    <t>R$ 800.756.132,40</t>
  </si>
  <si>
    <t>R$ 97,90</t>
  </si>
  <si>
    <t>0,72</t>
  </si>
  <si>
    <t>16,60%</t>
  </si>
  <si>
    <t>3,25%</t>
  </si>
  <si>
    <t>-0,38%</t>
  </si>
  <si>
    <t>-3,72%</t>
  </si>
  <si>
    <t>R$ 19.427.520,87</t>
  </si>
  <si>
    <t>R$ 88,99</t>
  </si>
  <si>
    <t>R$ 162.778.565,46</t>
  </si>
  <si>
    <t>R$ 121,97</t>
  </si>
  <si>
    <t>0,66</t>
  </si>
  <si>
    <t>11,30%</t>
  </si>
  <si>
    <t>9,27%</t>
  </si>
  <si>
    <t>10,21%</t>
  </si>
  <si>
    <t>-8,57%</t>
  </si>
  <si>
    <t>R$ 93.232.405,03</t>
  </si>
  <si>
    <t>R$ 86,47</t>
  </si>
  <si>
    <t>0,81</t>
  </si>
  <si>
    <t>R$ 264.341.611,33</t>
  </si>
  <si>
    <t>R$ 108,17</t>
  </si>
  <si>
    <t>0,37</t>
  </si>
  <si>
    <t>23,44%</t>
  </si>
  <si>
    <t>R$ 4,00</t>
  </si>
  <si>
    <t>1,99%</t>
  </si>
  <si>
    <t>R$ 72.381.273,37</t>
  </si>
  <si>
    <t>R$ 673,43</t>
  </si>
  <si>
    <t>2,03%</t>
  </si>
  <si>
    <t>7,44%</t>
  </si>
  <si>
    <t>R$ 234.005.032,84</t>
  </si>
  <si>
    <t>R$ 87,45</t>
  </si>
  <si>
    <t>24,00%</t>
  </si>
  <si>
    <t>11,59%</t>
  </si>
  <si>
    <t>R$ 46.976.706,81</t>
  </si>
  <si>
    <t>R$ 97,51</t>
  </si>
  <si>
    <t>9,92%</t>
  </si>
  <si>
    <t>1,50%</t>
  </si>
  <si>
    <t>-4,29%</t>
  </si>
  <si>
    <t>R$ 127.581.764,58</t>
  </si>
  <si>
    <t>R$ 88,60</t>
  </si>
  <si>
    <t>R$ 0,11</t>
  </si>
  <si>
    <t>R$ 289.545.531,50</t>
  </si>
  <si>
    <t>R$ 9,54</t>
  </si>
  <si>
    <t>6,18%</t>
  </si>
  <si>
    <t>9,73%</t>
  </si>
  <si>
    <t>13,23%</t>
  </si>
  <si>
    <t>14,81%</t>
  </si>
  <si>
    <t>4,75%</t>
  </si>
  <si>
    <t>R$ 283.956.920,58</t>
  </si>
  <si>
    <t>6,58%</t>
  </si>
  <si>
    <t>11,05%</t>
  </si>
  <si>
    <t>R$ 1.114.567.220,92</t>
  </si>
  <si>
    <t>R$ 100,88</t>
  </si>
  <si>
    <t>4,12%</t>
  </si>
  <si>
    <t>6,02%</t>
  </si>
  <si>
    <t>R$ 320.438.489,55</t>
  </si>
  <si>
    <t>R$ 100,76</t>
  </si>
  <si>
    <t>2,79%</t>
  </si>
  <si>
    <t>5,07%</t>
  </si>
  <si>
    <t>8,91%</t>
  </si>
  <si>
    <t>R$ 917.117.685,29</t>
  </si>
  <si>
    <t>R$ 99,32</t>
  </si>
  <si>
    <t>R$ 52.548.899,51</t>
  </si>
  <si>
    <t>R$ 12,51</t>
  </si>
  <si>
    <t>27,90%</t>
  </si>
  <si>
    <t>R$ 622.933.473,38</t>
  </si>
  <si>
    <t>R$ 97,41</t>
  </si>
  <si>
    <t>R$ 154.396.953,32</t>
  </si>
  <si>
    <t>R$ 95,99</t>
  </si>
  <si>
    <t>R$ 4,80</t>
  </si>
  <si>
    <t>1,47%</t>
  </si>
  <si>
    <t>4,80%</t>
  </si>
  <si>
    <t>R$ 542.257.564,45</t>
  </si>
  <si>
    <t>R$ 890,48</t>
  </si>
  <si>
    <t>10,80%</t>
  </si>
  <si>
    <t>8,09%</t>
  </si>
  <si>
    <t>R$ 163.841.678,80</t>
  </si>
  <si>
    <t>R$ 101,94</t>
  </si>
  <si>
    <t>2,18%</t>
  </si>
  <si>
    <t>-3,75%</t>
  </si>
  <si>
    <t>R$ 233.091.678,77</t>
  </si>
  <si>
    <t>R$ 93,24</t>
  </si>
  <si>
    <t>6,85%</t>
  </si>
  <si>
    <t>22,07%</t>
  </si>
  <si>
    <t>1,41%</t>
  </si>
  <si>
    <t>-1,27%</t>
  </si>
  <si>
    <t>-0,42%</t>
  </si>
  <si>
    <t>-33,61%</t>
  </si>
  <si>
    <t>R$ 93.875.642,24</t>
  </si>
  <si>
    <t>R$ 52,21</t>
  </si>
  <si>
    <t>R$ 680.058.871,43</t>
  </si>
  <si>
    <t>R$ 107,74</t>
  </si>
  <si>
    <t>R$ 227.288.534,96</t>
  </si>
  <si>
    <t>R$ 140,86</t>
  </si>
  <si>
    <t>2,05%</t>
  </si>
  <si>
    <t>7,14%</t>
  </si>
  <si>
    <t>R$ 384.342.485,15</t>
  </si>
  <si>
    <t>R$ 91,03</t>
  </si>
  <si>
    <t>12,75%</t>
  </si>
  <si>
    <t>10,73%</t>
  </si>
  <si>
    <t>10,85%</t>
  </si>
  <si>
    <t>R$ 1.496.956.687,22</t>
  </si>
  <si>
    <t>R$ 132,36</t>
  </si>
  <si>
    <t>R$ 452.337.268,81</t>
  </si>
  <si>
    <t>R$ 12,90</t>
  </si>
  <si>
    <t>0,32%</t>
  </si>
  <si>
    <t>0,31%</t>
  </si>
  <si>
    <t>9,96%</t>
  </si>
  <si>
    <t>10,56%</t>
  </si>
  <si>
    <t>-26,64%</t>
  </si>
  <si>
    <t>R$ 796.881.453,61</t>
  </si>
  <si>
    <t>R$ 202,48</t>
  </si>
  <si>
    <t>50,90%</t>
  </si>
  <si>
    <t>8,61%</t>
  </si>
  <si>
    <t>R$ 738.428.430,97</t>
  </si>
  <si>
    <t>R$ 101,93</t>
  </si>
  <si>
    <t>R$ 1,63</t>
  </si>
  <si>
    <t>4,59%</t>
  </si>
  <si>
    <t>9,19%</t>
  </si>
  <si>
    <t>18,59%</t>
  </si>
  <si>
    <t>R$ 348.675.383,32</t>
  </si>
  <si>
    <t>R$ 95,45</t>
  </si>
  <si>
    <t>4,35%</t>
  </si>
  <si>
    <t>7,92%</t>
  </si>
  <si>
    <t>12,33%</t>
  </si>
  <si>
    <t>R$ 1.108.573.860,66</t>
  </si>
  <si>
    <t>R$ 95,53</t>
  </si>
  <si>
    <t>2,68%</t>
  </si>
  <si>
    <t>5,08%</t>
  </si>
  <si>
    <t>R$ 239.192.558,80</t>
  </si>
  <si>
    <t>R$ 119,60</t>
  </si>
  <si>
    <t>R$ 0,16</t>
  </si>
  <si>
    <t>8,85%</t>
  </si>
  <si>
    <t>1,62%</t>
  </si>
  <si>
    <t>1,48%</t>
  </si>
  <si>
    <t>R$ 315.713.679,87</t>
  </si>
  <si>
    <t>R$ 9,46</t>
  </si>
  <si>
    <t>R$ 1,65</t>
  </si>
  <si>
    <t>4,45%</t>
  </si>
  <si>
    <t>13,44%</t>
  </si>
  <si>
    <t>5,36%</t>
  </si>
  <si>
    <t>7,04%</t>
  </si>
  <si>
    <t>R$ 893.160.931,17</t>
  </si>
  <si>
    <t>R$ 96,10</t>
  </si>
  <si>
    <t>R$ 441.178.250,99</t>
  </si>
  <si>
    <t>R$ 0,66</t>
  </si>
  <si>
    <t>2,56%</t>
  </si>
  <si>
    <t>9,18%</t>
  </si>
  <si>
    <t>R$ 261.421.261,58</t>
  </si>
  <si>
    <t>R$ 92,96</t>
  </si>
  <si>
    <t>6,76%</t>
  </si>
  <si>
    <t>R$ 1.712.192.304,32</t>
  </si>
  <si>
    <t>R$ 114,17</t>
  </si>
  <si>
    <t>R$ 0,34</t>
  </si>
  <si>
    <t>2,53%</t>
  </si>
  <si>
    <t>9,93%</t>
  </si>
  <si>
    <t>R$ 699.302.246,47</t>
  </si>
  <si>
    <t>R$ 55,18</t>
  </si>
  <si>
    <t>R$ 0,68</t>
  </si>
  <si>
    <t>5,85%</t>
  </si>
  <si>
    <t>R$ 2.051.142.632,74</t>
  </si>
  <si>
    <t>R$ 115,91</t>
  </si>
  <si>
    <t>7,60%</t>
  </si>
  <si>
    <t>2,77%</t>
  </si>
  <si>
    <t>R$ 260.808.926,19</t>
  </si>
  <si>
    <t>R$ 96,79</t>
  </si>
  <si>
    <t>R$ 649.310.196,78</t>
  </si>
  <si>
    <t>R$ 133,16</t>
  </si>
  <si>
    <t>1,61%</t>
  </si>
  <si>
    <t>5,64%</t>
  </si>
  <si>
    <t>R$ 184.615.196,91</t>
  </si>
  <si>
    <t>R$ 103,44</t>
  </si>
  <si>
    <t>R$ 0,88</t>
  </si>
  <si>
    <t>2,82%</t>
  </si>
  <si>
    <t>R$ 81.639.692,78</t>
  </si>
  <si>
    <t>R$ 98,61</t>
  </si>
  <si>
    <t>R$ 1,24</t>
  </si>
  <si>
    <t>6,61%</t>
  </si>
  <si>
    <t>11,76%</t>
  </si>
  <si>
    <t>R$ 1.057.669.059,51</t>
  </si>
  <si>
    <t>R$ 97,03</t>
  </si>
  <si>
    <t>R$ 0,57</t>
  </si>
  <si>
    <t>4,64%</t>
  </si>
  <si>
    <t>R$ 214.017.891,82</t>
  </si>
  <si>
    <t>R$ 101,97</t>
  </si>
  <si>
    <t>12,72%</t>
  </si>
  <si>
    <t>R$ 294.618.792,24</t>
  </si>
  <si>
    <t>R$ 9,87</t>
  </si>
  <si>
    <t>4,62%</t>
  </si>
  <si>
    <t>8,69%</t>
  </si>
  <si>
    <t>4,53%</t>
  </si>
  <si>
    <t>-10,00%</t>
  </si>
  <si>
    <t>R$ 218.154.340,14</t>
  </si>
  <si>
    <t>R$ 238.464.430,38</t>
  </si>
  <si>
    <t>R$ 103,42</t>
  </si>
  <si>
    <t>R$ 863,00</t>
  </si>
  <si>
    <t>R$ 10,76</t>
  </si>
  <si>
    <t>R$ 122.892.339,37</t>
  </si>
  <si>
    <t>R$ 695,18</t>
  </si>
  <si>
    <t>1,24</t>
  </si>
  <si>
    <t>1,42%</t>
  </si>
  <si>
    <t>R$ 104.862.073,94</t>
  </si>
  <si>
    <t>R$ 102,73</t>
  </si>
  <si>
    <t>12,10%</t>
  </si>
  <si>
    <t>6,10%</t>
  </si>
  <si>
    <t>-4,02%</t>
  </si>
  <si>
    <t>-3,05%</t>
  </si>
  <si>
    <t>-3,60%</t>
  </si>
  <si>
    <t>R$ 75.308.631,07</t>
  </si>
  <si>
    <t>R$ 75,87</t>
  </si>
  <si>
    <t>0,59</t>
  </si>
  <si>
    <t>R$ 134.714.550,47</t>
  </si>
  <si>
    <t>R$ 9,56</t>
  </si>
  <si>
    <t>R$ 655.327.883,83</t>
  </si>
  <si>
    <t>R$ 95,14</t>
  </si>
  <si>
    <t>R$ 0,15</t>
  </si>
  <si>
    <t>2,24%</t>
  </si>
  <si>
    <t>9,95%</t>
  </si>
  <si>
    <t>R$ 132.802.297,76</t>
  </si>
  <si>
    <t>R$ 55,00</t>
  </si>
  <si>
    <t>0,34</t>
  </si>
  <si>
    <t>-18,27%</t>
  </si>
  <si>
    <t>-17,94%</t>
  </si>
  <si>
    <t>-16,89%</t>
  </si>
  <si>
    <t>R$ 330.630.764,20</t>
  </si>
  <si>
    <t>R$ 86,90</t>
  </si>
  <si>
    <t>47,60%</t>
  </si>
  <si>
    <t>R$ 786.901.110,67</t>
  </si>
  <si>
    <t>R$ 110,05</t>
  </si>
  <si>
    <t>17,30%</t>
  </si>
  <si>
    <t>7,01%</t>
  </si>
  <si>
    <t>9,00%</t>
  </si>
  <si>
    <t>3,74%</t>
  </si>
  <si>
    <t>5,58%</t>
  </si>
  <si>
    <t>1,67%</t>
  </si>
  <si>
    <t>-10,59%</t>
  </si>
  <si>
    <t>R$ 1.900.259.041,51</t>
  </si>
  <si>
    <t>R$ 101,72</t>
  </si>
  <si>
    <t>4,40%</t>
  </si>
  <si>
    <t>2,45%</t>
  </si>
  <si>
    <t>4,93%</t>
  </si>
  <si>
    <t>9,28%</t>
  </si>
  <si>
    <t>R$ 602.678.994,00</t>
  </si>
  <si>
    <t>R$ 82,38</t>
  </si>
  <si>
    <t>5,22%</t>
  </si>
  <si>
    <t>R$ 388.991.107,07</t>
  </si>
  <si>
    <t>R$ 89,83</t>
  </si>
  <si>
    <t>-37,83%</t>
  </si>
  <si>
    <t>R$ 27.341.371,70</t>
  </si>
  <si>
    <t>R$ 14,12</t>
  </si>
  <si>
    <t>R$ 37.637.102,65</t>
  </si>
  <si>
    <t>R$ 39,48</t>
  </si>
  <si>
    <t>Começo</t>
  </si>
  <si>
    <t>termino</t>
  </si>
  <si>
    <t>Diferença</t>
  </si>
  <si>
    <t>R$ 77,80</t>
  </si>
  <si>
    <t>R$ 97,00</t>
  </si>
  <si>
    <t>R$ 25.998,99</t>
  </si>
  <si>
    <t>5,44%</t>
  </si>
  <si>
    <t>1,27</t>
  </si>
  <si>
    <t>1,75%</t>
  </si>
  <si>
    <t>R$ 94,49</t>
  </si>
  <si>
    <t>R$ 58.147.226,59</t>
  </si>
  <si>
    <t>R$ 125,51</t>
  </si>
  <si>
    <t>8,31%</t>
  </si>
  <si>
    <t>R$ 0,73</t>
  </si>
  <si>
    <t>1,66%</t>
  </si>
  <si>
    <t>R$ 218,00</t>
  </si>
  <si>
    <t>R$ 109,00</t>
  </si>
  <si>
    <t>R$ 110,98</t>
  </si>
  <si>
    <t>R$ 96,50</t>
  </si>
  <si>
    <t>R$ 76,14</t>
  </si>
  <si>
    <t>R$ 9,00</t>
  </si>
  <si>
    <t>R$ 74,00</t>
  </si>
  <si>
    <t>R$ 74,07</t>
  </si>
  <si>
    <t>R$ 117,50</t>
  </si>
  <si>
    <t>R$ 96,60</t>
  </si>
  <si>
    <t>R$ 0,06</t>
  </si>
  <si>
    <t>R$ 115,50</t>
  </si>
  <si>
    <t>R$ 10,03</t>
  </si>
  <si>
    <t>R$ 87,44</t>
  </si>
  <si>
    <t>R$ 103,85</t>
  </si>
  <si>
    <t>R$ 44,53</t>
  </si>
  <si>
    <t>R$ 96,85</t>
  </si>
  <si>
    <t>R$ 3.016.207.294,18</t>
  </si>
  <si>
    <t>R$ 111,29</t>
  </si>
  <si>
    <t>R$ 6,23</t>
  </si>
  <si>
    <t>Códigodo fundo</t>
  </si>
  <si>
    <t>DividendYield</t>
  </si>
  <si>
    <t>DY (3M)Acumulado</t>
  </si>
  <si>
    <t>DY (6M)Acumulado</t>
  </si>
  <si>
    <t>DY (12M)Acumulado</t>
  </si>
  <si>
    <t>DY (3M)Média</t>
  </si>
  <si>
    <t>DY (6M)Média</t>
  </si>
  <si>
    <t>DY (12M)Média</t>
  </si>
  <si>
    <t>DY Ano</t>
  </si>
  <si>
    <t>Variação Preço</t>
  </si>
  <si>
    <t>Rentab.Período</t>
  </si>
  <si>
    <t>Rentab.Acumulada</t>
  </si>
  <si>
    <t>PatrimônioLíq.</t>
  </si>
  <si>
    <t>DYPatrimonial</t>
  </si>
  <si>
    <t>VariaçãoPatrimonial</t>
  </si>
  <si>
    <t>Rentab. Patr.no Período</t>
  </si>
  <si>
    <t>Rentab. Patr.Acumulada</t>
  </si>
  <si>
    <t>VacânciaFísica</t>
  </si>
  <si>
    <t>VacânciaFinanceira</t>
  </si>
  <si>
    <t>QuantidadeAtivos</t>
  </si>
  <si>
    <t>R$ 76,87</t>
  </si>
  <si>
    <t>2,78%</t>
  </si>
  <si>
    <t>R$ 101,31</t>
  </si>
  <si>
    <t>R$ 88,15</t>
  </si>
  <si>
    <t>R$ 76,42</t>
  </si>
  <si>
    <t>2,49%</t>
  </si>
  <si>
    <t>R$ 1.017,00</t>
  </si>
  <si>
    <t>R$ 10,64</t>
  </si>
  <si>
    <t>R$ 108,50</t>
  </si>
  <si>
    <t>R$ 103,50</t>
  </si>
  <si>
    <t>R$ 2.233,80</t>
  </si>
  <si>
    <t>R$ 73,50</t>
  </si>
  <si>
    <t>R$ 91,40</t>
  </si>
  <si>
    <t>R$ 71,70</t>
  </si>
  <si>
    <t>R$ 86,49</t>
  </si>
  <si>
    <t>R$ 95,50</t>
  </si>
  <si>
    <t>R$ 9,39</t>
  </si>
  <si>
    <t>R$ 98,90</t>
  </si>
  <si>
    <t>R$ 94,13</t>
  </si>
  <si>
    <t>5,57%</t>
  </si>
  <si>
    <t>10,55%</t>
  </si>
  <si>
    <t>R$ 7,69</t>
  </si>
  <si>
    <t>R$ 90,96</t>
  </si>
  <si>
    <t>8,00%</t>
  </si>
  <si>
    <t>R$ 124,40</t>
  </si>
  <si>
    <t>R$ 67,15</t>
  </si>
  <si>
    <t>R$ 68,48</t>
  </si>
  <si>
    <t>-3,04%</t>
  </si>
  <si>
    <t>R$ 99,55</t>
  </si>
  <si>
    <t>R$ 70,02</t>
  </si>
  <si>
    <t>2,14%</t>
  </si>
  <si>
    <t>-1,93%</t>
  </si>
  <si>
    <t>-1,23%</t>
  </si>
  <si>
    <t>-11,38%</t>
  </si>
  <si>
    <t>R$ 92,27</t>
  </si>
  <si>
    <t>3,11%</t>
  </si>
  <si>
    <t>9,98%</t>
  </si>
  <si>
    <t>R$ 105,70</t>
  </si>
  <si>
    <t>R$ 2,01</t>
  </si>
  <si>
    <t>0,25</t>
  </si>
  <si>
    <t>R$ 64,70</t>
  </si>
  <si>
    <t>R$ 99,50</t>
  </si>
  <si>
    <t>R$ 57,56</t>
  </si>
  <si>
    <t>2,38%</t>
  </si>
  <si>
    <t>4,63%</t>
  </si>
  <si>
    <t>8,55%</t>
  </si>
  <si>
    <t>R$ 70,25</t>
  </si>
  <si>
    <t>R$ 33,50</t>
  </si>
  <si>
    <t>0,39</t>
  </si>
  <si>
    <t>R$ 95,00</t>
  </si>
  <si>
    <t>R$ 71,22</t>
  </si>
  <si>
    <t>R$ 68,44</t>
  </si>
  <si>
    <t>R$ 59.134.739,16</t>
  </si>
  <si>
    <t>R$ 85,70</t>
  </si>
  <si>
    <t>R$ 23,00</t>
  </si>
  <si>
    <t>R$ 42,90</t>
  </si>
  <si>
    <t>R$ 80,19</t>
  </si>
  <si>
    <t>R$ 66,36</t>
  </si>
  <si>
    <t>R$ 133.592.138,40</t>
  </si>
  <si>
    <t>R$ 84,78</t>
  </si>
  <si>
    <t>R$ 307,99</t>
  </si>
  <si>
    <t>R$ 99,79</t>
  </si>
  <si>
    <t>R$ 103,62</t>
  </si>
  <si>
    <t>3,93%</t>
  </si>
  <si>
    <t>7,98%</t>
  </si>
  <si>
    <t>14,86%</t>
  </si>
  <si>
    <t>R$ 98,94</t>
  </si>
  <si>
    <t>R$ 88,01</t>
  </si>
  <si>
    <t>R$ 22,01</t>
  </si>
  <si>
    <t>R$ 94,01</t>
  </si>
  <si>
    <t>11,88%</t>
  </si>
  <si>
    <t>R$ 200,53</t>
  </si>
  <si>
    <t>R$ 144,66</t>
  </si>
  <si>
    <t>R$ 1,28</t>
  </si>
  <si>
    <t>9,09%</t>
  </si>
  <si>
    <t>R$ 900,00</t>
  </si>
  <si>
    <t>R$ 103,91</t>
  </si>
  <si>
    <t>R$ 113,00</t>
  </si>
  <si>
    <t>R$ 88,86</t>
  </si>
  <si>
    <t>3,22%</t>
  </si>
  <si>
    <t>5,84%</t>
  </si>
  <si>
    <t>R$ 53,21</t>
  </si>
  <si>
    <t>R$ 455,90</t>
  </si>
  <si>
    <t>R$ 164,00</t>
  </si>
  <si>
    <t>R$ 2,02</t>
  </si>
  <si>
    <t>R$ 99,54</t>
  </si>
  <si>
    <t>8,46%</t>
  </si>
  <si>
    <t>R$ 117,13</t>
  </si>
  <si>
    <t>R$ 1.195,00</t>
  </si>
  <si>
    <t>R$ 110,50</t>
  </si>
  <si>
    <t>0,56</t>
  </si>
  <si>
    <t>R$ 97,33</t>
  </si>
  <si>
    <t>R$ 109,97</t>
  </si>
  <si>
    <t>R$ 81,04</t>
  </si>
  <si>
    <t>R$ 98,67</t>
  </si>
  <si>
    <t>R$ 112,37</t>
  </si>
  <si>
    <t>R$ 4,28</t>
  </si>
  <si>
    <t>0,32</t>
  </si>
  <si>
    <t>R$ 98,50</t>
  </si>
  <si>
    <t>R$ 81,19</t>
  </si>
  <si>
    <t>R$ 85,25</t>
  </si>
  <si>
    <t>R$ 344,00</t>
  </si>
  <si>
    <t>R$ 122,63</t>
  </si>
  <si>
    <t>R$ 77,21</t>
  </si>
  <si>
    <t>R$ 167,49</t>
  </si>
  <si>
    <t>R$ 106,80</t>
  </si>
  <si>
    <t>R$ 107,98</t>
  </si>
  <si>
    <t>R$ 167,15</t>
  </si>
  <si>
    <t>R$ 250,17</t>
  </si>
  <si>
    <t>R$ 130,87</t>
  </si>
  <si>
    <t>R$ 114,39</t>
  </si>
  <si>
    <t>R$ 92,37</t>
  </si>
  <si>
    <t>R$ 72,40</t>
  </si>
  <si>
    <t>R$ 96,86</t>
  </si>
  <si>
    <t>R$ 94,42</t>
  </si>
  <si>
    <t>R$ 90,00</t>
  </si>
  <si>
    <t>R$ 75,29</t>
  </si>
  <si>
    <t>R$ 81,98</t>
  </si>
  <si>
    <t>R$ 100,90</t>
  </si>
  <si>
    <t>R$ 110,10</t>
  </si>
  <si>
    <t>R$ 112,90</t>
  </si>
  <si>
    <t>R$ 71,51</t>
  </si>
  <si>
    <t>R$ 76,00</t>
  </si>
  <si>
    <t>R$ 97,40</t>
  </si>
  <si>
    <t>R$ 71,90</t>
  </si>
  <si>
    <t>2,87%</t>
  </si>
  <si>
    <t>6,06%</t>
  </si>
  <si>
    <t>5,52%</t>
  </si>
  <si>
    <t>19,55%</t>
  </si>
  <si>
    <t>R$ 77,15</t>
  </si>
  <si>
    <t>R$ 76,80</t>
  </si>
  <si>
    <t>R$ 12,99</t>
  </si>
  <si>
    <t>1,78</t>
  </si>
  <si>
    <t>R$ 7,80</t>
  </si>
  <si>
    <t>R$ 102,77</t>
  </si>
  <si>
    <t>0,47</t>
  </si>
  <si>
    <t>R$ 135,25</t>
  </si>
  <si>
    <t>R$ 107,25</t>
  </si>
  <si>
    <t>1,80</t>
  </si>
  <si>
    <t>R$ 81,93</t>
  </si>
  <si>
    <t>R$ 87,05</t>
  </si>
  <si>
    <t>R$ 97,43</t>
  </si>
  <si>
    <t>R$ 829.526.701,15</t>
  </si>
  <si>
    <t>R$ 86,55</t>
  </si>
  <si>
    <t>4,91%</t>
  </si>
  <si>
    <t>-94,98%</t>
  </si>
  <si>
    <t>R$ 688,00</t>
  </si>
  <si>
    <t>4,07%</t>
  </si>
  <si>
    <t>6,93%</t>
  </si>
  <si>
    <t>11,96%</t>
  </si>
  <si>
    <t>-13,47%</t>
  </si>
  <si>
    <t>-12,28%</t>
  </si>
  <si>
    <t>-11,23%</t>
  </si>
  <si>
    <t>R$ 100,80</t>
  </si>
  <si>
    <t>R$ 106,00</t>
  </si>
  <si>
    <t>R$ 88,39</t>
  </si>
  <si>
    <t>R$ 62,36</t>
  </si>
  <si>
    <t>R$ 86,05</t>
  </si>
  <si>
    <t>R$ 54,27</t>
  </si>
  <si>
    <t>R$ 99,88</t>
  </si>
  <si>
    <t>R$ 9,35</t>
  </si>
  <si>
    <t>R$ 73,51</t>
  </si>
  <si>
    <t>R$ 210,15</t>
  </si>
  <si>
    <t>R$ 11,90</t>
  </si>
  <si>
    <t>R$ 144,80</t>
  </si>
  <si>
    <t>6,14%</t>
  </si>
  <si>
    <t>6,47%</t>
  </si>
  <si>
    <t>7,13%</t>
  </si>
  <si>
    <t>7,81%</t>
  </si>
  <si>
    <t>R$ 66,73</t>
  </si>
  <si>
    <t>R$ 89,65</t>
  </si>
  <si>
    <t>R$ 48,70</t>
  </si>
  <si>
    <t>R$ 86,25</t>
  </si>
  <si>
    <t>R$ 66,70</t>
  </si>
  <si>
    <t>R$ 73,99</t>
  </si>
  <si>
    <t>R$ 87,60</t>
  </si>
  <si>
    <t>R$ 38,69</t>
  </si>
  <si>
    <t>R$ 93,33</t>
  </si>
  <si>
    <t>R$ 56,75</t>
  </si>
  <si>
    <t>R$ 2.070,00</t>
  </si>
  <si>
    <t>0,61</t>
  </si>
  <si>
    <t>R$ 86,85</t>
  </si>
  <si>
    <t>R$ 49,67</t>
  </si>
  <si>
    <t>R$ 96,91</t>
  </si>
  <si>
    <t>R$ 51,88</t>
  </si>
  <si>
    <t>0,52</t>
  </si>
  <si>
    <t>R$ 6,50</t>
  </si>
  <si>
    <t>R$ 119,34</t>
  </si>
  <si>
    <t>R$ 52,62</t>
  </si>
  <si>
    <t>R$ 84,95</t>
  </si>
  <si>
    <t>R$ 100,12</t>
  </si>
  <si>
    <t>R$ 41,57</t>
  </si>
  <si>
    <t>0,58</t>
  </si>
  <si>
    <t>R$ 72,32</t>
  </si>
  <si>
    <t>R$ 91,79</t>
  </si>
  <si>
    <t>R$ 70,22</t>
  </si>
  <si>
    <t>R$ 102,85</t>
  </si>
  <si>
    <t>3,07%</t>
  </si>
  <si>
    <t>10,31%</t>
  </si>
  <si>
    <t>R$ 62,00</t>
  </si>
  <si>
    <t>R$ 106,50</t>
  </si>
  <si>
    <t>R$ 12,40</t>
  </si>
  <si>
    <t>R$ 130,75</t>
  </si>
  <si>
    <t>6,59%</t>
  </si>
  <si>
    <t>R$ 57,11</t>
  </si>
  <si>
    <t>R$ 69,98</t>
  </si>
  <si>
    <t>R$ 94,99</t>
  </si>
  <si>
    <t>R$ 80,35</t>
  </si>
  <si>
    <t>5,75%</t>
  </si>
  <si>
    <t>R$ 69,77</t>
  </si>
  <si>
    <t>R$ 40,00</t>
  </si>
  <si>
    <t>R$ 639,96</t>
  </si>
  <si>
    <t>R$ 49,33</t>
  </si>
  <si>
    <t>R$ 85,75</t>
  </si>
  <si>
    <t>R$ 81,57</t>
  </si>
  <si>
    <t>R$ 9,98</t>
  </si>
  <si>
    <t>R$ 102,27</t>
  </si>
  <si>
    <t>R$ 88,75</t>
  </si>
  <si>
    <t>R$ 69,50</t>
  </si>
  <si>
    <t>R$ 7,68</t>
  </si>
  <si>
    <t>R$ 83,03</t>
  </si>
  <si>
    <t>R$ 72,21</t>
  </si>
  <si>
    <t>5,03%</t>
  </si>
  <si>
    <t>R$ 813,00</t>
  </si>
  <si>
    <t>R$ 85,35</t>
  </si>
  <si>
    <t>R$ 44,95</t>
  </si>
  <si>
    <t>SRVD11</t>
  </si>
  <si>
    <t>R$ 9,70</t>
  </si>
  <si>
    <t>R$ 131.157.492,48</t>
  </si>
  <si>
    <t>7,12</t>
  </si>
  <si>
    <t>R$ 72,60</t>
  </si>
  <si>
    <t>R$ 114,71</t>
  </si>
  <si>
    <t>R$ 9,65</t>
  </si>
  <si>
    <t>6,09%</t>
  </si>
  <si>
    <t>R$ 109,50</t>
  </si>
  <si>
    <t>R$ 100,93</t>
  </si>
  <si>
    <t>R$ 114,45</t>
  </si>
  <si>
    <t>1,20</t>
  </si>
  <si>
    <t>R$ 10,06</t>
  </si>
  <si>
    <t>R$ 101,43</t>
  </si>
  <si>
    <t>R$ 101,81</t>
  </si>
  <si>
    <t>4,87%</t>
  </si>
  <si>
    <t>8,41%</t>
  </si>
  <si>
    <t>R$ 79,95</t>
  </si>
  <si>
    <t>R$ 101,80</t>
  </si>
  <si>
    <t>R$ 48,75</t>
  </si>
  <si>
    <t>R$ 76,11</t>
  </si>
  <si>
    <t>R$ 93,27</t>
  </si>
  <si>
    <t>R$ 104,50</t>
  </si>
  <si>
    <t>R$ 9,75</t>
  </si>
  <si>
    <t>8,17%</t>
  </si>
  <si>
    <t>R$ 89,98</t>
  </si>
  <si>
    <t>R$ 91,48</t>
  </si>
  <si>
    <t>R$ 70,47</t>
  </si>
  <si>
    <t>0,69</t>
  </si>
  <si>
    <t>R$ 10,00</t>
  </si>
  <si>
    <t>R$ 96,53</t>
  </si>
  <si>
    <t>R$ 18,73</t>
  </si>
  <si>
    <t>4,18%</t>
  </si>
  <si>
    <t>R$ 96,94</t>
  </si>
  <si>
    <t>R$ 96,70</t>
  </si>
  <si>
    <t>R$ 62,65</t>
  </si>
  <si>
    <t>R$ 77,72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</si>
</sst>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_-[$R$-416]\ * #,##0.00_-;\-[$R$-416]\ * #,##0.00_-;_-[$R$-416]\ * &quot;-&quot;??_-;_-@_-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5</xdr:row>
      <xdr:rowOff>114300</xdr:rowOff>
    </xdr:from>
    <xdr:to>
      <xdr:col>2</xdr:col>
      <xdr:colOff>266700</xdr:colOff>
      <xdr:row>7</xdr:row>
      <xdr:rowOff>171450</xdr:rowOff>
    </xdr:to>
    <xdr:sp macro="[0]!Scraping_Data.Scraping_Data" textlink="">
      <xdr:nvSpPr>
        <xdr:cNvPr id="3" name="Retângulo de cantos arredondados 2"/>
        <xdr:cNvSpPr/>
      </xdr:nvSpPr>
      <xdr:spPr>
        <a:xfrm>
          <a:off x="209550" y="1066800"/>
          <a:ext cx="1276350" cy="438150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Scraping!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icial"/>
  <dimension ref="B1:D28"/>
  <sheetViews>
    <sheetView topLeftCell="A10" workbookViewId="0">
      <selection activeCell="E16" sqref="E16"/>
    </sheetView>
  </sheetViews>
  <sheetFormatPr defaultRowHeight="15" x14ac:dyDescent="0.25"/>
  <cols>
    <col min="4" max="4" width="38.42578125" bestFit="1" customWidth="1"/>
  </cols>
  <sheetData>
    <row r="1" spans="2:4" x14ac:dyDescent="0.25">
      <c r="D1" t="s">
        <v>300</v>
      </c>
    </row>
    <row r="3" spans="2:4" x14ac:dyDescent="0.25">
      <c r="B3" t="s">
        <v>273</v>
      </c>
      <c r="C3">
        <v>1</v>
      </c>
      <c r="D3" t="s">
        <v>274</v>
      </c>
    </row>
    <row r="4" spans="2:4" x14ac:dyDescent="0.25">
      <c r="C4">
        <v>2</v>
      </c>
      <c r="D4" t="s">
        <v>275</v>
      </c>
    </row>
    <row r="5" spans="2:4" x14ac:dyDescent="0.25">
      <c r="C5">
        <v>3</v>
      </c>
      <c r="D5" t="s">
        <v>276</v>
      </c>
    </row>
    <row r="6" spans="2:4" x14ac:dyDescent="0.25">
      <c r="C6">
        <v>4</v>
      </c>
      <c r="D6" t="s">
        <v>277</v>
      </c>
    </row>
    <row r="7" spans="2:4" x14ac:dyDescent="0.25">
      <c r="C7">
        <v>5</v>
      </c>
      <c r="D7" t="s">
        <v>278</v>
      </c>
    </row>
    <row r="8" spans="2:4" x14ac:dyDescent="0.25">
      <c r="C8">
        <v>6</v>
      </c>
      <c r="D8" t="s">
        <v>279</v>
      </c>
    </row>
    <row r="9" spans="2:4" x14ac:dyDescent="0.25">
      <c r="C9">
        <v>7</v>
      </c>
      <c r="D9" t="s">
        <v>280</v>
      </c>
    </row>
    <row r="10" spans="2:4" x14ac:dyDescent="0.25">
      <c r="C10">
        <v>8</v>
      </c>
      <c r="D10" t="s">
        <v>282</v>
      </c>
    </row>
    <row r="11" spans="2:4" x14ac:dyDescent="0.25">
      <c r="C11">
        <v>9</v>
      </c>
      <c r="D11" t="s">
        <v>281</v>
      </c>
    </row>
    <row r="12" spans="2:4" x14ac:dyDescent="0.25">
      <c r="C12">
        <v>10</v>
      </c>
      <c r="D12" t="s">
        <v>283</v>
      </c>
    </row>
    <row r="13" spans="2:4" x14ac:dyDescent="0.25">
      <c r="C13">
        <v>11</v>
      </c>
      <c r="D13" t="s">
        <v>284</v>
      </c>
    </row>
    <row r="14" spans="2:4" x14ac:dyDescent="0.25">
      <c r="C14">
        <v>12</v>
      </c>
      <c r="D14" t="s">
        <v>285</v>
      </c>
    </row>
    <row r="15" spans="2:4" x14ac:dyDescent="0.25">
      <c r="C15">
        <v>13</v>
      </c>
      <c r="D15" t="s">
        <v>286</v>
      </c>
    </row>
    <row r="16" spans="2:4" x14ac:dyDescent="0.25">
      <c r="C16">
        <v>14</v>
      </c>
      <c r="D16" t="s">
        <v>287</v>
      </c>
    </row>
    <row r="17" spans="3:4" x14ac:dyDescent="0.25">
      <c r="C17">
        <v>15</v>
      </c>
      <c r="D17" t="s">
        <v>288</v>
      </c>
    </row>
    <row r="18" spans="3:4" x14ac:dyDescent="0.25">
      <c r="C18">
        <v>16</v>
      </c>
      <c r="D18" t="s">
        <v>289</v>
      </c>
    </row>
    <row r="19" spans="3:4" x14ac:dyDescent="0.25">
      <c r="C19">
        <v>17</v>
      </c>
      <c r="D19" t="s">
        <v>290</v>
      </c>
    </row>
    <row r="20" spans="3:4" x14ac:dyDescent="0.25">
      <c r="C20">
        <v>18</v>
      </c>
      <c r="D20" t="s">
        <v>291</v>
      </c>
    </row>
    <row r="21" spans="3:4" x14ac:dyDescent="0.25">
      <c r="C21">
        <v>19</v>
      </c>
      <c r="D21" t="s">
        <v>292</v>
      </c>
    </row>
    <row r="22" spans="3:4" x14ac:dyDescent="0.25">
      <c r="C22">
        <v>20</v>
      </c>
      <c r="D22" t="s">
        <v>293</v>
      </c>
    </row>
    <row r="23" spans="3:4" x14ac:dyDescent="0.25">
      <c r="C23">
        <v>21</v>
      </c>
      <c r="D23" t="s">
        <v>294</v>
      </c>
    </row>
    <row r="24" spans="3:4" x14ac:dyDescent="0.25">
      <c r="C24">
        <v>22</v>
      </c>
      <c r="D24" t="s">
        <v>295</v>
      </c>
    </row>
    <row r="25" spans="3:4" x14ac:dyDescent="0.25">
      <c r="C25">
        <v>23</v>
      </c>
      <c r="D25" t="s">
        <v>296</v>
      </c>
    </row>
    <row r="26" spans="3:4" x14ac:dyDescent="0.25">
      <c r="C26">
        <v>24</v>
      </c>
      <c r="D26" t="s">
        <v>297</v>
      </c>
    </row>
    <row r="27" spans="3:4" x14ac:dyDescent="0.25">
      <c r="C27">
        <v>25</v>
      </c>
      <c r="D27" t="s">
        <v>298</v>
      </c>
    </row>
    <row r="28" spans="3:4" x14ac:dyDescent="0.25">
      <c r="C28">
        <v>26</v>
      </c>
      <c r="D28" t="s">
        <v>299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aw"/>
  <dimension ref="A2:AC279"/>
  <sheetViews>
    <sheetView tabSelected="1" zoomScaleNormal="100" workbookViewId="0">
      <selection activeCell="B14" sqref="B14"/>
    </sheetView>
  </sheetViews>
  <sheetFormatPr defaultRowHeight="15" x14ac:dyDescent="0.25"/>
  <cols>
    <col min="4" max="4" width="9.28515625" bestFit="1" customWidth="1"/>
    <col min="5" max="5" width="17.5703125" bestFit="1" customWidth="1"/>
    <col min="6" max="6" width="11.7109375" bestFit="1" customWidth="1"/>
    <col min="7" max="7" width="14.140625" bestFit="1" customWidth="1"/>
    <col min="8" max="8" width="10.140625" bestFit="1" customWidth="1"/>
    <col min="9" max="9" width="14" bestFit="1" customWidth="1"/>
    <col min="10" max="11" width="23.140625" bestFit="1" customWidth="1"/>
    <col min="12" max="12" width="24.140625" bestFit="1" customWidth="1"/>
    <col min="13" max="14" width="18.5703125" bestFit="1" customWidth="1"/>
    <col min="15" max="15" width="19.5703125" bestFit="1" customWidth="1"/>
    <col min="16" max="17" width="16.85546875" bestFit="1" customWidth="1"/>
    <col min="18" max="18" width="23.85546875" bestFit="1" customWidth="1"/>
    <col min="19" max="19" width="24.140625" bestFit="1" customWidth="1"/>
    <col min="20" max="20" width="18.140625" bestFit="1" customWidth="1"/>
    <col min="21" max="21" width="11.7109375" bestFit="1" customWidth="1"/>
    <col min="22" max="22" width="6.7109375" bestFit="1" customWidth="1"/>
    <col min="23" max="23" width="14.140625" bestFit="1" customWidth="1"/>
    <col min="24" max="24" width="19.5703125" bestFit="1" customWidth="1"/>
    <col min="25" max="25" width="35.42578125" bestFit="1" customWidth="1"/>
    <col min="26" max="26" width="38.42578125" bestFit="1" customWidth="1"/>
    <col min="27" max="27" width="14.140625" bestFit="1" customWidth="1"/>
    <col min="28" max="28" width="18.5703125" bestFit="1" customWidth="1"/>
    <col min="29" max="29" width="20.42578125" bestFit="1" customWidth="1"/>
  </cols>
  <sheetData>
    <row r="2" spans="1:29" x14ac:dyDescent="0.25">
      <c r="I2" s="2"/>
    </row>
    <row r="4" spans="1:29" x14ac:dyDescent="0.25">
      <c r="D4" t="s">
        <v>1834</v>
      </c>
      <c r="E4" t="s">
        <v>275</v>
      </c>
      <c r="F4" t="s">
        <v>276</v>
      </c>
      <c r="G4" t="s">
        <v>277</v>
      </c>
      <c r="H4" t="s">
        <v>278</v>
      </c>
      <c r="I4" t="s">
        <v>1835</v>
      </c>
      <c r="J4" t="s">
        <v>1836</v>
      </c>
      <c r="K4" t="s">
        <v>1837</v>
      </c>
      <c r="L4" t="s">
        <v>1838</v>
      </c>
      <c r="M4" t="s">
        <v>1839</v>
      </c>
      <c r="N4" t="s">
        <v>1840</v>
      </c>
      <c r="O4" t="s">
        <v>1841</v>
      </c>
      <c r="P4" t="s">
        <v>1842</v>
      </c>
      <c r="Q4" t="s">
        <v>1843</v>
      </c>
      <c r="R4" t="s">
        <v>1844</v>
      </c>
      <c r="S4" t="s">
        <v>1845</v>
      </c>
      <c r="T4" t="s">
        <v>1846</v>
      </c>
      <c r="U4" t="s">
        <v>291</v>
      </c>
      <c r="V4" t="s">
        <v>292</v>
      </c>
      <c r="W4" t="s">
        <v>1847</v>
      </c>
      <c r="X4" t="s">
        <v>1848</v>
      </c>
      <c r="Y4" t="s">
        <v>1849</v>
      </c>
      <c r="Z4" t="s">
        <v>1850</v>
      </c>
      <c r="AA4" t="s">
        <v>1851</v>
      </c>
      <c r="AB4" t="s">
        <v>1852</v>
      </c>
      <c r="AC4" t="s">
        <v>1853</v>
      </c>
    </row>
    <row r="5" spans="1:29" x14ac:dyDescent="0.25">
      <c r="D5" t="s">
        <v>0</v>
      </c>
      <c r="E5" t="s">
        <v>301</v>
      </c>
      <c r="F5" t="s">
        <v>1854</v>
      </c>
      <c r="G5">
        <v>2887</v>
      </c>
      <c r="H5" s="2" t="s">
        <v>302</v>
      </c>
      <c r="I5" t="s">
        <v>303</v>
      </c>
      <c r="J5" t="s">
        <v>1855</v>
      </c>
      <c r="K5" t="s">
        <v>304</v>
      </c>
      <c r="L5" t="s">
        <v>305</v>
      </c>
      <c r="M5" t="s">
        <v>306</v>
      </c>
      <c r="N5" t="s">
        <v>307</v>
      </c>
      <c r="O5" t="s">
        <v>308</v>
      </c>
      <c r="P5" t="s">
        <v>303</v>
      </c>
      <c r="Q5" t="s">
        <v>309</v>
      </c>
      <c r="R5" t="s">
        <v>303</v>
      </c>
      <c r="S5" t="s">
        <v>303</v>
      </c>
      <c r="T5" t="s">
        <v>310</v>
      </c>
      <c r="U5" t="s">
        <v>311</v>
      </c>
      <c r="V5" t="s">
        <v>339</v>
      </c>
      <c r="W5" t="s">
        <v>313</v>
      </c>
      <c r="X5" t="s">
        <v>313</v>
      </c>
      <c r="Y5" t="s">
        <v>313</v>
      </c>
      <c r="Z5" t="s">
        <v>313</v>
      </c>
      <c r="AA5" t="s">
        <v>314</v>
      </c>
      <c r="AB5" t="s">
        <v>313</v>
      </c>
      <c r="AC5">
        <v>1</v>
      </c>
    </row>
    <row r="6" spans="1:29" x14ac:dyDescent="0.25">
      <c r="D6" t="s">
        <v>1</v>
      </c>
      <c r="E6" t="s">
        <v>315</v>
      </c>
      <c r="F6" t="s">
        <v>1856</v>
      </c>
      <c r="G6">
        <v>7722</v>
      </c>
      <c r="H6" t="s">
        <v>316</v>
      </c>
      <c r="I6" t="s">
        <v>317</v>
      </c>
      <c r="J6" t="s">
        <v>864</v>
      </c>
      <c r="K6" t="s">
        <v>318</v>
      </c>
      <c r="L6" t="s">
        <v>309</v>
      </c>
      <c r="M6" t="s">
        <v>319</v>
      </c>
      <c r="N6" t="s">
        <v>320</v>
      </c>
      <c r="O6" t="s">
        <v>309</v>
      </c>
      <c r="P6" t="s">
        <v>321</v>
      </c>
      <c r="Q6" t="s">
        <v>322</v>
      </c>
      <c r="R6" t="s">
        <v>323</v>
      </c>
      <c r="S6" t="s">
        <v>324</v>
      </c>
      <c r="T6" t="s">
        <v>325</v>
      </c>
      <c r="U6" t="s">
        <v>326</v>
      </c>
      <c r="V6" t="s">
        <v>327</v>
      </c>
      <c r="W6" t="s">
        <v>313</v>
      </c>
      <c r="X6" t="s">
        <v>313</v>
      </c>
      <c r="Y6" t="s">
        <v>313</v>
      </c>
      <c r="Z6" t="s">
        <v>313</v>
      </c>
      <c r="AA6" t="s">
        <v>313</v>
      </c>
      <c r="AB6" t="s">
        <v>313</v>
      </c>
      <c r="AC6">
        <v>0</v>
      </c>
    </row>
    <row r="7" spans="1:29" x14ac:dyDescent="0.25">
      <c r="D7" t="s">
        <v>2</v>
      </c>
      <c r="E7" t="s">
        <v>315</v>
      </c>
      <c r="F7" t="s">
        <v>1857</v>
      </c>
      <c r="G7">
        <v>618</v>
      </c>
      <c r="H7" t="s">
        <v>328</v>
      </c>
      <c r="I7" t="s">
        <v>329</v>
      </c>
      <c r="J7" t="s">
        <v>626</v>
      </c>
      <c r="K7" t="s">
        <v>330</v>
      </c>
      <c r="L7" t="s">
        <v>309</v>
      </c>
      <c r="M7" t="s">
        <v>331</v>
      </c>
      <c r="N7" t="s">
        <v>332</v>
      </c>
      <c r="O7" t="s">
        <v>309</v>
      </c>
      <c r="P7" t="s">
        <v>333</v>
      </c>
      <c r="Q7" t="s">
        <v>334</v>
      </c>
      <c r="R7" t="s">
        <v>335</v>
      </c>
      <c r="S7" t="s">
        <v>336</v>
      </c>
      <c r="T7" t="s">
        <v>337</v>
      </c>
      <c r="U7" t="s">
        <v>338</v>
      </c>
      <c r="V7" t="s">
        <v>339</v>
      </c>
      <c r="W7" t="s">
        <v>313</v>
      </c>
      <c r="X7" t="s">
        <v>313</v>
      </c>
      <c r="Y7" t="s">
        <v>313</v>
      </c>
      <c r="Z7" t="s">
        <v>313</v>
      </c>
      <c r="AA7" t="s">
        <v>313</v>
      </c>
      <c r="AB7" t="s">
        <v>313</v>
      </c>
      <c r="AC7">
        <v>0</v>
      </c>
    </row>
    <row r="8" spans="1:29" x14ac:dyDescent="0.25">
      <c r="D8" t="s">
        <v>3</v>
      </c>
      <c r="E8" t="s">
        <v>340</v>
      </c>
      <c r="F8" t="s">
        <v>1858</v>
      </c>
      <c r="G8">
        <v>12465</v>
      </c>
      <c r="H8" t="s">
        <v>341</v>
      </c>
      <c r="I8" t="s">
        <v>342</v>
      </c>
      <c r="J8" t="s">
        <v>1859</v>
      </c>
      <c r="K8" t="s">
        <v>343</v>
      </c>
      <c r="L8" t="s">
        <v>344</v>
      </c>
      <c r="M8" t="s">
        <v>345</v>
      </c>
      <c r="N8" t="s">
        <v>346</v>
      </c>
      <c r="O8" t="s">
        <v>347</v>
      </c>
      <c r="P8" t="s">
        <v>342</v>
      </c>
      <c r="Q8" t="s">
        <v>309</v>
      </c>
      <c r="R8" t="s">
        <v>342</v>
      </c>
      <c r="S8" t="s">
        <v>342</v>
      </c>
      <c r="T8" t="s">
        <v>348</v>
      </c>
      <c r="U8" t="s">
        <v>349</v>
      </c>
      <c r="V8" t="s">
        <v>916</v>
      </c>
      <c r="W8" t="s">
        <v>313</v>
      </c>
      <c r="X8" t="s">
        <v>313</v>
      </c>
      <c r="Y8" t="s">
        <v>313</v>
      </c>
      <c r="Z8" t="s">
        <v>313</v>
      </c>
      <c r="AA8" t="s">
        <v>309</v>
      </c>
      <c r="AB8" t="s">
        <v>313</v>
      </c>
      <c r="AC8">
        <v>2</v>
      </c>
    </row>
    <row r="9" spans="1:29" x14ac:dyDescent="0.25">
      <c r="D9" t="s">
        <v>4</v>
      </c>
      <c r="E9" t="s">
        <v>340</v>
      </c>
      <c r="F9" t="s">
        <v>1860</v>
      </c>
      <c r="G9">
        <v>10</v>
      </c>
      <c r="H9" t="s">
        <v>351</v>
      </c>
      <c r="I9" t="s">
        <v>309</v>
      </c>
      <c r="J9" t="s">
        <v>309</v>
      </c>
      <c r="K9" t="s">
        <v>309</v>
      </c>
      <c r="L9" t="s">
        <v>309</v>
      </c>
      <c r="M9" t="s">
        <v>309</v>
      </c>
      <c r="N9" t="s">
        <v>309</v>
      </c>
      <c r="O9" t="s">
        <v>309</v>
      </c>
      <c r="P9" t="s">
        <v>309</v>
      </c>
      <c r="Q9" t="s">
        <v>332</v>
      </c>
      <c r="R9" t="s">
        <v>332</v>
      </c>
      <c r="S9" t="s">
        <v>352</v>
      </c>
      <c r="T9" t="s">
        <v>353</v>
      </c>
      <c r="U9" t="s">
        <v>354</v>
      </c>
      <c r="V9" t="s">
        <v>782</v>
      </c>
      <c r="W9" t="s">
        <v>313</v>
      </c>
      <c r="X9" t="s">
        <v>313</v>
      </c>
      <c r="Y9" t="s">
        <v>313</v>
      </c>
      <c r="Z9" t="s">
        <v>313</v>
      </c>
      <c r="AA9" t="s">
        <v>355</v>
      </c>
      <c r="AB9" t="s">
        <v>313</v>
      </c>
      <c r="AC9">
        <v>1</v>
      </c>
    </row>
    <row r="10" spans="1:29" x14ac:dyDescent="0.25">
      <c r="A10" t="s">
        <v>1799</v>
      </c>
      <c r="B10" s="1">
        <v>0.70581018518518523</v>
      </c>
      <c r="D10" t="s">
        <v>5</v>
      </c>
      <c r="E10" t="s">
        <v>356</v>
      </c>
      <c r="F10" t="s">
        <v>1825</v>
      </c>
      <c r="G10">
        <v>7766</v>
      </c>
      <c r="H10" t="s">
        <v>357</v>
      </c>
      <c r="I10" t="s">
        <v>358</v>
      </c>
      <c r="J10" t="s">
        <v>685</v>
      </c>
      <c r="K10" t="s">
        <v>359</v>
      </c>
      <c r="L10" t="s">
        <v>360</v>
      </c>
      <c r="M10" t="s">
        <v>361</v>
      </c>
      <c r="N10" t="s">
        <v>308</v>
      </c>
      <c r="O10" t="s">
        <v>362</v>
      </c>
      <c r="P10" t="s">
        <v>360</v>
      </c>
      <c r="Q10" t="s">
        <v>363</v>
      </c>
      <c r="R10" t="s">
        <v>364</v>
      </c>
      <c r="S10" t="s">
        <v>365</v>
      </c>
      <c r="T10" t="s">
        <v>366</v>
      </c>
      <c r="U10" t="s">
        <v>367</v>
      </c>
      <c r="V10" t="s">
        <v>405</v>
      </c>
      <c r="W10" t="s">
        <v>313</v>
      </c>
      <c r="X10" t="s">
        <v>313</v>
      </c>
      <c r="Y10" t="s">
        <v>313</v>
      </c>
      <c r="Z10" t="s">
        <v>313</v>
      </c>
      <c r="AA10" t="s">
        <v>309</v>
      </c>
      <c r="AB10" t="s">
        <v>313</v>
      </c>
      <c r="AC10">
        <v>15</v>
      </c>
    </row>
    <row r="11" spans="1:29" x14ac:dyDescent="0.25">
      <c r="A11" t="s">
        <v>1800</v>
      </c>
      <c r="B11" s="1">
        <v>0.70582175925925927</v>
      </c>
      <c r="D11" t="s">
        <v>6</v>
      </c>
      <c r="E11" t="s">
        <v>369</v>
      </c>
      <c r="F11" t="s">
        <v>1861</v>
      </c>
      <c r="G11">
        <v>232</v>
      </c>
      <c r="H11" t="s">
        <v>370</v>
      </c>
      <c r="I11" t="s">
        <v>371</v>
      </c>
      <c r="J11" t="s">
        <v>309</v>
      </c>
      <c r="K11" t="s">
        <v>309</v>
      </c>
      <c r="L11" t="s">
        <v>309</v>
      </c>
      <c r="M11" t="s">
        <v>309</v>
      </c>
      <c r="N11" t="s">
        <v>309</v>
      </c>
      <c r="O11" t="s">
        <v>309</v>
      </c>
      <c r="P11" t="s">
        <v>371</v>
      </c>
      <c r="Q11" t="s">
        <v>309</v>
      </c>
      <c r="R11" t="s">
        <v>371</v>
      </c>
      <c r="S11" t="s">
        <v>371</v>
      </c>
      <c r="T11" t="s">
        <v>372</v>
      </c>
      <c r="U11" t="s">
        <v>373</v>
      </c>
      <c r="V11" t="s">
        <v>876</v>
      </c>
      <c r="W11" t="s">
        <v>313</v>
      </c>
      <c r="X11" t="s">
        <v>313</v>
      </c>
      <c r="Y11" t="s">
        <v>313</v>
      </c>
      <c r="Z11" t="s">
        <v>313</v>
      </c>
      <c r="AA11" t="s">
        <v>313</v>
      </c>
      <c r="AB11" t="s">
        <v>313</v>
      </c>
      <c r="AC11">
        <v>0</v>
      </c>
    </row>
    <row r="12" spans="1:29" x14ac:dyDescent="0.25">
      <c r="A12" t="s">
        <v>1801</v>
      </c>
      <c r="B12" s="1">
        <f>B11-B10</f>
        <v>1.1574074074038876E-5</v>
      </c>
      <c r="D12" t="s">
        <v>7</v>
      </c>
      <c r="E12" t="s">
        <v>369</v>
      </c>
      <c r="F12" t="s">
        <v>1862</v>
      </c>
      <c r="G12">
        <v>16987</v>
      </c>
      <c r="H12" t="s">
        <v>374</v>
      </c>
      <c r="I12" t="s">
        <v>375</v>
      </c>
      <c r="J12" t="s">
        <v>334</v>
      </c>
      <c r="K12" t="s">
        <v>376</v>
      </c>
      <c r="L12" t="s">
        <v>377</v>
      </c>
      <c r="M12" t="s">
        <v>378</v>
      </c>
      <c r="N12" t="s">
        <v>379</v>
      </c>
      <c r="O12" t="s">
        <v>380</v>
      </c>
      <c r="P12" t="s">
        <v>377</v>
      </c>
      <c r="Q12" t="s">
        <v>381</v>
      </c>
      <c r="R12" t="s">
        <v>382</v>
      </c>
      <c r="S12" t="s">
        <v>383</v>
      </c>
      <c r="T12" t="s">
        <v>384</v>
      </c>
      <c r="U12" t="s">
        <v>385</v>
      </c>
      <c r="V12" t="s">
        <v>876</v>
      </c>
      <c r="W12" t="s">
        <v>313</v>
      </c>
      <c r="X12" t="s">
        <v>313</v>
      </c>
      <c r="Y12" t="s">
        <v>313</v>
      </c>
      <c r="Z12" t="s">
        <v>313</v>
      </c>
      <c r="AA12" t="s">
        <v>313</v>
      </c>
      <c r="AB12" t="s">
        <v>313</v>
      </c>
      <c r="AC12">
        <v>4</v>
      </c>
    </row>
    <row r="13" spans="1:29" x14ac:dyDescent="0.25">
      <c r="D13" t="s">
        <v>8</v>
      </c>
      <c r="E13" t="s">
        <v>315</v>
      </c>
      <c r="F13" t="s">
        <v>503</v>
      </c>
      <c r="G13">
        <v>3404</v>
      </c>
      <c r="H13" t="s">
        <v>387</v>
      </c>
      <c r="I13" t="s">
        <v>388</v>
      </c>
      <c r="J13" t="s">
        <v>304</v>
      </c>
      <c r="K13" t="s">
        <v>389</v>
      </c>
      <c r="L13" t="s">
        <v>390</v>
      </c>
      <c r="M13" t="s">
        <v>391</v>
      </c>
      <c r="N13" t="s">
        <v>380</v>
      </c>
      <c r="O13" t="s">
        <v>392</v>
      </c>
      <c r="P13" t="s">
        <v>388</v>
      </c>
      <c r="Q13" t="s">
        <v>309</v>
      </c>
      <c r="R13" t="s">
        <v>388</v>
      </c>
      <c r="S13" t="s">
        <v>388</v>
      </c>
      <c r="T13" t="s">
        <v>393</v>
      </c>
      <c r="U13" t="s">
        <v>394</v>
      </c>
      <c r="V13" t="s">
        <v>368</v>
      </c>
      <c r="W13" t="s">
        <v>313</v>
      </c>
      <c r="X13" t="s">
        <v>313</v>
      </c>
      <c r="Y13" t="s">
        <v>313</v>
      </c>
      <c r="Z13" t="s">
        <v>313</v>
      </c>
      <c r="AA13" t="s">
        <v>313</v>
      </c>
      <c r="AB13" t="s">
        <v>313</v>
      </c>
      <c r="AC13">
        <v>0</v>
      </c>
    </row>
    <row r="14" spans="1:29" x14ac:dyDescent="0.25">
      <c r="D14" t="s">
        <v>9</v>
      </c>
      <c r="E14" t="s">
        <v>301</v>
      </c>
      <c r="F14" t="s">
        <v>842</v>
      </c>
      <c r="G14">
        <v>7</v>
      </c>
      <c r="H14" t="s">
        <v>658</v>
      </c>
      <c r="I14" t="s">
        <v>865</v>
      </c>
      <c r="J14" t="s">
        <v>807</v>
      </c>
      <c r="K14" t="s">
        <v>388</v>
      </c>
      <c r="L14" t="s">
        <v>395</v>
      </c>
      <c r="M14" t="s">
        <v>396</v>
      </c>
      <c r="N14" t="s">
        <v>397</v>
      </c>
      <c r="O14" t="s">
        <v>398</v>
      </c>
      <c r="P14" t="s">
        <v>399</v>
      </c>
      <c r="Q14" t="s">
        <v>400</v>
      </c>
      <c r="R14" t="s">
        <v>401</v>
      </c>
      <c r="S14" t="s">
        <v>402</v>
      </c>
      <c r="T14" t="s">
        <v>403</v>
      </c>
      <c r="U14" t="s">
        <v>404</v>
      </c>
      <c r="V14" t="s">
        <v>405</v>
      </c>
      <c r="W14" t="s">
        <v>313</v>
      </c>
      <c r="X14" t="s">
        <v>313</v>
      </c>
      <c r="Y14" t="s">
        <v>313</v>
      </c>
      <c r="Z14" t="s">
        <v>313</v>
      </c>
      <c r="AA14" t="s">
        <v>406</v>
      </c>
      <c r="AB14" t="s">
        <v>313</v>
      </c>
      <c r="AC14">
        <v>1</v>
      </c>
    </row>
    <row r="15" spans="1:29" x14ac:dyDescent="0.25">
      <c r="D15" t="s">
        <v>10</v>
      </c>
      <c r="E15" t="s">
        <v>315</v>
      </c>
      <c r="F15" t="s">
        <v>1863</v>
      </c>
      <c r="G15">
        <v>8811</v>
      </c>
      <c r="H15" t="s">
        <v>407</v>
      </c>
      <c r="I15" t="s">
        <v>408</v>
      </c>
      <c r="J15" t="s">
        <v>409</v>
      </c>
      <c r="K15" t="s">
        <v>410</v>
      </c>
      <c r="L15" t="s">
        <v>411</v>
      </c>
      <c r="M15" t="s">
        <v>412</v>
      </c>
      <c r="N15" t="s">
        <v>413</v>
      </c>
      <c r="O15" t="s">
        <v>402</v>
      </c>
      <c r="P15" t="s">
        <v>408</v>
      </c>
      <c r="Q15" t="s">
        <v>309</v>
      </c>
      <c r="R15" t="s">
        <v>408</v>
      </c>
      <c r="S15" t="s">
        <v>408</v>
      </c>
      <c r="T15" t="s">
        <v>414</v>
      </c>
      <c r="U15" t="s">
        <v>415</v>
      </c>
      <c r="V15" t="s">
        <v>486</v>
      </c>
      <c r="W15" t="s">
        <v>313</v>
      </c>
      <c r="X15" t="s">
        <v>313</v>
      </c>
      <c r="Y15" t="s">
        <v>313</v>
      </c>
      <c r="Z15" t="s">
        <v>313</v>
      </c>
      <c r="AA15" t="s">
        <v>313</v>
      </c>
      <c r="AB15" t="s">
        <v>313</v>
      </c>
      <c r="AC15">
        <v>0</v>
      </c>
    </row>
    <row r="16" spans="1:29" x14ac:dyDescent="0.25">
      <c r="D16" t="s">
        <v>11</v>
      </c>
      <c r="E16" t="s">
        <v>340</v>
      </c>
      <c r="F16" t="s">
        <v>1864</v>
      </c>
      <c r="G16">
        <v>119</v>
      </c>
      <c r="H16" t="s">
        <v>417</v>
      </c>
      <c r="I16" t="s">
        <v>408</v>
      </c>
      <c r="J16" t="s">
        <v>418</v>
      </c>
      <c r="K16" t="s">
        <v>419</v>
      </c>
      <c r="L16" t="s">
        <v>420</v>
      </c>
      <c r="M16" t="s">
        <v>421</v>
      </c>
      <c r="N16" t="s">
        <v>392</v>
      </c>
      <c r="O16" t="s">
        <v>422</v>
      </c>
      <c r="P16" t="s">
        <v>408</v>
      </c>
      <c r="Q16" t="s">
        <v>309</v>
      </c>
      <c r="R16" t="s">
        <v>408</v>
      </c>
      <c r="S16" t="s">
        <v>408</v>
      </c>
      <c r="T16" t="s">
        <v>423</v>
      </c>
      <c r="U16" t="s">
        <v>424</v>
      </c>
      <c r="V16" t="s">
        <v>425</v>
      </c>
      <c r="W16" t="s">
        <v>313</v>
      </c>
      <c r="X16" t="s">
        <v>313</v>
      </c>
      <c r="Y16" t="s">
        <v>313</v>
      </c>
      <c r="Z16" t="s">
        <v>313</v>
      </c>
      <c r="AA16" t="s">
        <v>426</v>
      </c>
      <c r="AB16" t="s">
        <v>313</v>
      </c>
      <c r="AC16">
        <v>2</v>
      </c>
    </row>
    <row r="17" spans="4:29" x14ac:dyDescent="0.25">
      <c r="D17" t="s">
        <v>12</v>
      </c>
      <c r="E17" t="s">
        <v>315</v>
      </c>
      <c r="F17" t="s">
        <v>1865</v>
      </c>
      <c r="G17">
        <v>1937</v>
      </c>
      <c r="H17" t="s">
        <v>427</v>
      </c>
      <c r="I17" t="s">
        <v>428</v>
      </c>
      <c r="J17" t="s">
        <v>429</v>
      </c>
      <c r="K17" t="s">
        <v>430</v>
      </c>
      <c r="L17" t="s">
        <v>431</v>
      </c>
      <c r="M17" t="s">
        <v>329</v>
      </c>
      <c r="N17" t="s">
        <v>432</v>
      </c>
      <c r="O17" t="s">
        <v>400</v>
      </c>
      <c r="P17" t="s">
        <v>428</v>
      </c>
      <c r="Q17" t="s">
        <v>309</v>
      </c>
      <c r="R17" t="s">
        <v>428</v>
      </c>
      <c r="S17" t="s">
        <v>428</v>
      </c>
      <c r="T17" t="s">
        <v>433</v>
      </c>
      <c r="U17" t="s">
        <v>434</v>
      </c>
      <c r="V17" t="s">
        <v>520</v>
      </c>
      <c r="W17" t="s">
        <v>313</v>
      </c>
      <c r="X17" t="s">
        <v>313</v>
      </c>
      <c r="Y17" t="s">
        <v>313</v>
      </c>
      <c r="Z17" t="s">
        <v>313</v>
      </c>
      <c r="AA17" t="s">
        <v>313</v>
      </c>
      <c r="AB17" t="s">
        <v>313</v>
      </c>
      <c r="AC17">
        <v>0</v>
      </c>
    </row>
    <row r="18" spans="4:29" x14ac:dyDescent="0.25">
      <c r="D18" t="s">
        <v>13</v>
      </c>
      <c r="E18" t="s">
        <v>315</v>
      </c>
      <c r="F18" t="s">
        <v>313</v>
      </c>
      <c r="G18" t="s">
        <v>313</v>
      </c>
      <c r="H18" t="s">
        <v>436</v>
      </c>
      <c r="I18" t="s">
        <v>309</v>
      </c>
      <c r="J18" t="s">
        <v>309</v>
      </c>
      <c r="K18" t="s">
        <v>309</v>
      </c>
      <c r="L18" t="s">
        <v>309</v>
      </c>
      <c r="M18" t="s">
        <v>309</v>
      </c>
      <c r="N18" t="s">
        <v>309</v>
      </c>
      <c r="O18" t="s">
        <v>309</v>
      </c>
      <c r="P18" t="s">
        <v>313</v>
      </c>
      <c r="Q18" t="s">
        <v>309</v>
      </c>
      <c r="R18" t="s">
        <v>309</v>
      </c>
      <c r="S18" t="s">
        <v>309</v>
      </c>
      <c r="T18" t="s">
        <v>437</v>
      </c>
      <c r="U18" t="s">
        <v>438</v>
      </c>
      <c r="V18" t="s">
        <v>313</v>
      </c>
      <c r="W18" t="s">
        <v>313</v>
      </c>
      <c r="X18" t="s">
        <v>313</v>
      </c>
      <c r="Y18" t="s">
        <v>313</v>
      </c>
      <c r="Z18" t="s">
        <v>313</v>
      </c>
      <c r="AA18" t="s">
        <v>313</v>
      </c>
      <c r="AB18" t="s">
        <v>313</v>
      </c>
      <c r="AC18">
        <v>0</v>
      </c>
    </row>
    <row r="19" spans="4:29" x14ac:dyDescent="0.25">
      <c r="D19" t="s">
        <v>14</v>
      </c>
      <c r="E19" t="s">
        <v>340</v>
      </c>
      <c r="F19" t="s">
        <v>1866</v>
      </c>
      <c r="G19">
        <v>20117</v>
      </c>
      <c r="H19" t="s">
        <v>439</v>
      </c>
      <c r="I19" t="s">
        <v>440</v>
      </c>
      <c r="J19" t="s">
        <v>441</v>
      </c>
      <c r="K19" t="s">
        <v>442</v>
      </c>
      <c r="L19" t="s">
        <v>443</v>
      </c>
      <c r="M19" t="s">
        <v>444</v>
      </c>
      <c r="N19" t="s">
        <v>445</v>
      </c>
      <c r="O19" t="s">
        <v>401</v>
      </c>
      <c r="P19" t="s">
        <v>440</v>
      </c>
      <c r="Q19" t="s">
        <v>309</v>
      </c>
      <c r="R19" t="s">
        <v>440</v>
      </c>
      <c r="S19" t="s">
        <v>440</v>
      </c>
      <c r="T19" t="s">
        <v>446</v>
      </c>
      <c r="U19" t="s">
        <v>447</v>
      </c>
      <c r="V19" t="s">
        <v>828</v>
      </c>
      <c r="W19" t="s">
        <v>313</v>
      </c>
      <c r="X19" t="s">
        <v>313</v>
      </c>
      <c r="Y19" t="s">
        <v>313</v>
      </c>
      <c r="Z19" t="s">
        <v>313</v>
      </c>
      <c r="AA19" t="s">
        <v>309</v>
      </c>
      <c r="AB19" t="s">
        <v>309</v>
      </c>
      <c r="AC19">
        <v>64</v>
      </c>
    </row>
    <row r="20" spans="4:29" x14ac:dyDescent="0.25">
      <c r="D20" t="s">
        <v>15</v>
      </c>
      <c r="E20" t="s">
        <v>449</v>
      </c>
      <c r="F20" t="s">
        <v>1830</v>
      </c>
      <c r="G20">
        <v>992</v>
      </c>
      <c r="H20" t="s">
        <v>450</v>
      </c>
      <c r="I20" t="s">
        <v>445</v>
      </c>
      <c r="J20" t="s">
        <v>451</v>
      </c>
      <c r="K20" t="s">
        <v>452</v>
      </c>
      <c r="L20" t="s">
        <v>453</v>
      </c>
      <c r="M20" t="s">
        <v>401</v>
      </c>
      <c r="N20" t="s">
        <v>454</v>
      </c>
      <c r="O20" t="s">
        <v>455</v>
      </c>
      <c r="P20" t="s">
        <v>445</v>
      </c>
      <c r="Q20" t="s">
        <v>309</v>
      </c>
      <c r="R20" t="s">
        <v>445</v>
      </c>
      <c r="S20" t="s">
        <v>445</v>
      </c>
      <c r="T20" t="s">
        <v>456</v>
      </c>
      <c r="U20" t="s">
        <v>457</v>
      </c>
      <c r="V20" t="s">
        <v>734</v>
      </c>
      <c r="W20" t="s">
        <v>313</v>
      </c>
      <c r="X20" t="s">
        <v>313</v>
      </c>
      <c r="Y20" t="s">
        <v>313</v>
      </c>
      <c r="Z20" t="s">
        <v>313</v>
      </c>
      <c r="AA20" t="s">
        <v>459</v>
      </c>
      <c r="AB20" t="s">
        <v>460</v>
      </c>
      <c r="AC20">
        <v>20</v>
      </c>
    </row>
    <row r="21" spans="4:29" x14ac:dyDescent="0.25">
      <c r="D21" t="s">
        <v>16</v>
      </c>
      <c r="E21" t="s">
        <v>315</v>
      </c>
      <c r="F21" t="s">
        <v>1867</v>
      </c>
      <c r="G21">
        <v>38602</v>
      </c>
      <c r="H21" t="s">
        <v>461</v>
      </c>
      <c r="I21" t="s">
        <v>474</v>
      </c>
      <c r="J21" t="s">
        <v>638</v>
      </c>
      <c r="K21" t="s">
        <v>1059</v>
      </c>
      <c r="L21" t="s">
        <v>548</v>
      </c>
      <c r="M21" t="s">
        <v>400</v>
      </c>
      <c r="N21" t="s">
        <v>347</v>
      </c>
      <c r="O21" t="s">
        <v>549</v>
      </c>
      <c r="P21" t="s">
        <v>474</v>
      </c>
      <c r="Q21" t="s">
        <v>309</v>
      </c>
      <c r="R21" t="s">
        <v>474</v>
      </c>
      <c r="S21" t="s">
        <v>474</v>
      </c>
      <c r="T21" t="s">
        <v>467</v>
      </c>
      <c r="U21" t="s">
        <v>468</v>
      </c>
      <c r="V21" t="s">
        <v>458</v>
      </c>
      <c r="W21" t="s">
        <v>313</v>
      </c>
      <c r="X21" t="s">
        <v>313</v>
      </c>
      <c r="Y21" t="s">
        <v>313</v>
      </c>
      <c r="Z21" t="s">
        <v>313</v>
      </c>
      <c r="AA21" t="s">
        <v>313</v>
      </c>
      <c r="AB21" t="s">
        <v>313</v>
      </c>
      <c r="AC21">
        <v>0</v>
      </c>
    </row>
    <row r="22" spans="4:29" x14ac:dyDescent="0.25">
      <c r="D22" t="s">
        <v>17</v>
      </c>
      <c r="E22" t="s">
        <v>315</v>
      </c>
      <c r="F22" t="s">
        <v>1868</v>
      </c>
      <c r="G22">
        <v>1786</v>
      </c>
      <c r="H22" t="s">
        <v>469</v>
      </c>
      <c r="I22" t="s">
        <v>400</v>
      </c>
      <c r="J22" t="s">
        <v>470</v>
      </c>
      <c r="K22" t="s">
        <v>471</v>
      </c>
      <c r="L22" t="s">
        <v>472</v>
      </c>
      <c r="M22" t="s">
        <v>473</v>
      </c>
      <c r="N22" t="s">
        <v>474</v>
      </c>
      <c r="O22" t="s">
        <v>465</v>
      </c>
      <c r="P22" t="s">
        <v>400</v>
      </c>
      <c r="Q22" t="s">
        <v>309</v>
      </c>
      <c r="R22" t="s">
        <v>400</v>
      </c>
      <c r="S22" t="s">
        <v>400</v>
      </c>
      <c r="T22" t="s">
        <v>475</v>
      </c>
      <c r="U22" t="s">
        <v>476</v>
      </c>
      <c r="V22" t="s">
        <v>1565</v>
      </c>
      <c r="W22" t="s">
        <v>313</v>
      </c>
      <c r="X22" t="s">
        <v>313</v>
      </c>
      <c r="Y22" t="s">
        <v>313</v>
      </c>
      <c r="Z22" t="s">
        <v>313</v>
      </c>
      <c r="AA22" t="s">
        <v>313</v>
      </c>
      <c r="AB22" t="s">
        <v>313</v>
      </c>
      <c r="AC22">
        <v>0</v>
      </c>
    </row>
    <row r="23" spans="4:29" x14ac:dyDescent="0.25">
      <c r="D23" t="s">
        <v>18</v>
      </c>
      <c r="E23" t="s">
        <v>315</v>
      </c>
      <c r="F23" t="s">
        <v>1815</v>
      </c>
      <c r="G23">
        <v>10329</v>
      </c>
      <c r="H23" t="s">
        <v>478</v>
      </c>
      <c r="I23" t="s">
        <v>479</v>
      </c>
      <c r="J23" t="s">
        <v>480</v>
      </c>
      <c r="K23" t="s">
        <v>481</v>
      </c>
      <c r="L23" t="s">
        <v>482</v>
      </c>
      <c r="M23" t="s">
        <v>483</v>
      </c>
      <c r="N23" t="s">
        <v>402</v>
      </c>
      <c r="O23" t="s">
        <v>402</v>
      </c>
      <c r="P23" t="s">
        <v>479</v>
      </c>
      <c r="Q23" t="s">
        <v>309</v>
      </c>
      <c r="R23" t="s">
        <v>479</v>
      </c>
      <c r="S23" t="s">
        <v>479</v>
      </c>
      <c r="T23" t="s">
        <v>484</v>
      </c>
      <c r="U23" t="s">
        <v>485</v>
      </c>
      <c r="V23" t="s">
        <v>486</v>
      </c>
      <c r="W23" t="s">
        <v>313</v>
      </c>
      <c r="X23" t="s">
        <v>313</v>
      </c>
      <c r="Y23" t="s">
        <v>313</v>
      </c>
      <c r="Z23" t="s">
        <v>313</v>
      </c>
      <c r="AA23" t="s">
        <v>313</v>
      </c>
      <c r="AB23" t="s">
        <v>313</v>
      </c>
      <c r="AC23">
        <v>0</v>
      </c>
    </row>
    <row r="24" spans="4:29" x14ac:dyDescent="0.25">
      <c r="D24" t="s">
        <v>19</v>
      </c>
      <c r="E24" t="s">
        <v>315</v>
      </c>
      <c r="F24" t="s">
        <v>313</v>
      </c>
      <c r="G24" t="s">
        <v>313</v>
      </c>
      <c r="H24" t="s">
        <v>487</v>
      </c>
      <c r="I24" t="s">
        <v>309</v>
      </c>
      <c r="J24" t="s">
        <v>309</v>
      </c>
      <c r="K24" t="s">
        <v>309</v>
      </c>
      <c r="L24" t="s">
        <v>309</v>
      </c>
      <c r="M24" t="s">
        <v>309</v>
      </c>
      <c r="N24" t="s">
        <v>309</v>
      </c>
      <c r="O24" t="s">
        <v>309</v>
      </c>
      <c r="P24" t="s">
        <v>313</v>
      </c>
      <c r="Q24" t="s">
        <v>309</v>
      </c>
      <c r="R24" t="s">
        <v>309</v>
      </c>
      <c r="S24" t="s">
        <v>309</v>
      </c>
      <c r="T24" t="s">
        <v>488</v>
      </c>
      <c r="U24" t="s">
        <v>489</v>
      </c>
      <c r="V24" t="s">
        <v>313</v>
      </c>
      <c r="W24" t="s">
        <v>313</v>
      </c>
      <c r="X24" t="s">
        <v>313</v>
      </c>
      <c r="Y24" t="s">
        <v>313</v>
      </c>
      <c r="Z24" t="s">
        <v>313</v>
      </c>
      <c r="AA24" t="s">
        <v>313</v>
      </c>
      <c r="AB24" t="s">
        <v>313</v>
      </c>
      <c r="AC24">
        <v>0</v>
      </c>
    </row>
    <row r="25" spans="4:29" x14ac:dyDescent="0.25">
      <c r="D25" t="s">
        <v>20</v>
      </c>
      <c r="E25" t="s">
        <v>315</v>
      </c>
      <c r="F25" t="s">
        <v>1869</v>
      </c>
      <c r="G25">
        <v>16</v>
      </c>
      <c r="H25" t="s">
        <v>490</v>
      </c>
      <c r="I25" t="s">
        <v>491</v>
      </c>
      <c r="J25" t="s">
        <v>492</v>
      </c>
      <c r="K25" t="s">
        <v>493</v>
      </c>
      <c r="L25" t="s">
        <v>494</v>
      </c>
      <c r="M25" t="s">
        <v>308</v>
      </c>
      <c r="N25" t="s">
        <v>495</v>
      </c>
      <c r="O25" t="s">
        <v>496</v>
      </c>
      <c r="P25" t="s">
        <v>491</v>
      </c>
      <c r="Q25" t="s">
        <v>309</v>
      </c>
      <c r="R25" t="s">
        <v>491</v>
      </c>
      <c r="S25" t="s">
        <v>491</v>
      </c>
      <c r="T25" t="s">
        <v>497</v>
      </c>
      <c r="U25" t="s">
        <v>498</v>
      </c>
      <c r="V25" t="s">
        <v>448</v>
      </c>
      <c r="W25" t="s">
        <v>313</v>
      </c>
      <c r="X25" t="s">
        <v>313</v>
      </c>
      <c r="Y25" t="s">
        <v>313</v>
      </c>
      <c r="Z25" t="s">
        <v>313</v>
      </c>
      <c r="AA25" t="s">
        <v>313</v>
      </c>
      <c r="AB25" t="s">
        <v>313</v>
      </c>
      <c r="AC25">
        <v>0</v>
      </c>
    </row>
    <row r="26" spans="4:29" x14ac:dyDescent="0.25">
      <c r="D26" t="s">
        <v>21</v>
      </c>
      <c r="F26" t="s">
        <v>1870</v>
      </c>
      <c r="G26">
        <v>1112</v>
      </c>
      <c r="H26" t="s">
        <v>500</v>
      </c>
      <c r="I26" t="s">
        <v>554</v>
      </c>
      <c r="J26" t="s">
        <v>309</v>
      </c>
      <c r="K26" t="s">
        <v>309</v>
      </c>
      <c r="L26" t="s">
        <v>309</v>
      </c>
      <c r="M26" t="s">
        <v>309</v>
      </c>
      <c r="N26" t="s">
        <v>309</v>
      </c>
      <c r="O26" t="s">
        <v>309</v>
      </c>
      <c r="P26" t="s">
        <v>554</v>
      </c>
      <c r="Q26" t="s">
        <v>309</v>
      </c>
      <c r="R26" t="s">
        <v>554</v>
      </c>
      <c r="S26" t="s">
        <v>554</v>
      </c>
      <c r="T26" t="s">
        <v>501</v>
      </c>
      <c r="U26" t="s">
        <v>502</v>
      </c>
      <c r="V26" t="s">
        <v>532</v>
      </c>
      <c r="W26" t="s">
        <v>313</v>
      </c>
      <c r="X26" t="s">
        <v>313</v>
      </c>
      <c r="Y26" t="s">
        <v>313</v>
      </c>
      <c r="Z26" t="s">
        <v>313</v>
      </c>
      <c r="AA26" t="s">
        <v>313</v>
      </c>
      <c r="AB26" t="s">
        <v>313</v>
      </c>
      <c r="AC26">
        <v>0</v>
      </c>
    </row>
    <row r="27" spans="4:29" x14ac:dyDescent="0.25">
      <c r="D27" t="s">
        <v>22</v>
      </c>
      <c r="E27" t="s">
        <v>340</v>
      </c>
      <c r="F27" t="s">
        <v>503</v>
      </c>
      <c r="G27">
        <v>5</v>
      </c>
      <c r="H27" t="s">
        <v>504</v>
      </c>
      <c r="I27" t="s">
        <v>309</v>
      </c>
      <c r="J27" t="s">
        <v>309</v>
      </c>
      <c r="K27" t="s">
        <v>309</v>
      </c>
      <c r="L27" t="s">
        <v>309</v>
      </c>
      <c r="M27" t="s">
        <v>309</v>
      </c>
      <c r="N27" t="s">
        <v>309</v>
      </c>
      <c r="O27" t="s">
        <v>309</v>
      </c>
      <c r="P27" t="s">
        <v>313</v>
      </c>
      <c r="Q27" t="s">
        <v>309</v>
      </c>
      <c r="R27" t="s">
        <v>309</v>
      </c>
      <c r="S27" t="s">
        <v>309</v>
      </c>
      <c r="T27" t="s">
        <v>505</v>
      </c>
      <c r="U27" t="s">
        <v>506</v>
      </c>
      <c r="V27" t="s">
        <v>507</v>
      </c>
      <c r="W27" t="s">
        <v>313</v>
      </c>
      <c r="X27" t="s">
        <v>313</v>
      </c>
      <c r="Y27" t="s">
        <v>313</v>
      </c>
      <c r="Z27" t="s">
        <v>313</v>
      </c>
      <c r="AA27" t="s">
        <v>309</v>
      </c>
      <c r="AB27" t="s">
        <v>313</v>
      </c>
      <c r="AC27">
        <v>1</v>
      </c>
    </row>
    <row r="28" spans="4:29" x14ac:dyDescent="0.25">
      <c r="D28" t="s">
        <v>23</v>
      </c>
      <c r="E28" t="s">
        <v>449</v>
      </c>
      <c r="F28" t="s">
        <v>508</v>
      </c>
      <c r="G28">
        <v>1</v>
      </c>
      <c r="H28" t="s">
        <v>509</v>
      </c>
      <c r="I28" t="s">
        <v>361</v>
      </c>
      <c r="J28" t="s">
        <v>510</v>
      </c>
      <c r="K28" t="s">
        <v>511</v>
      </c>
      <c r="L28" t="s">
        <v>512</v>
      </c>
      <c r="M28" t="s">
        <v>496</v>
      </c>
      <c r="N28" t="s">
        <v>513</v>
      </c>
      <c r="O28" t="s">
        <v>514</v>
      </c>
      <c r="P28" t="s">
        <v>512</v>
      </c>
      <c r="Q28" t="s">
        <v>515</v>
      </c>
      <c r="R28" t="s">
        <v>516</v>
      </c>
      <c r="S28" t="s">
        <v>517</v>
      </c>
      <c r="T28" t="s">
        <v>518</v>
      </c>
      <c r="U28" t="s">
        <v>519</v>
      </c>
      <c r="V28" t="s">
        <v>520</v>
      </c>
      <c r="W28" t="s">
        <v>313</v>
      </c>
      <c r="X28" t="s">
        <v>313</v>
      </c>
      <c r="Y28" t="s">
        <v>313</v>
      </c>
      <c r="Z28" t="s">
        <v>313</v>
      </c>
      <c r="AA28" t="s">
        <v>521</v>
      </c>
      <c r="AB28" t="s">
        <v>313</v>
      </c>
      <c r="AC28">
        <v>2</v>
      </c>
    </row>
    <row r="29" spans="4:29" x14ac:dyDescent="0.25">
      <c r="D29" t="s">
        <v>24</v>
      </c>
      <c r="E29" t="s">
        <v>449</v>
      </c>
      <c r="F29" t="s">
        <v>1871</v>
      </c>
      <c r="G29">
        <v>42</v>
      </c>
      <c r="H29" t="s">
        <v>522</v>
      </c>
      <c r="I29" t="s">
        <v>428</v>
      </c>
      <c r="J29" t="s">
        <v>523</v>
      </c>
      <c r="K29" t="s">
        <v>524</v>
      </c>
      <c r="L29" t="s">
        <v>309</v>
      </c>
      <c r="M29" t="s">
        <v>479</v>
      </c>
      <c r="N29" t="s">
        <v>525</v>
      </c>
      <c r="O29" t="s">
        <v>309</v>
      </c>
      <c r="P29" t="s">
        <v>526</v>
      </c>
      <c r="Q29" t="s">
        <v>527</v>
      </c>
      <c r="R29" t="s">
        <v>528</v>
      </c>
      <c r="S29" t="s">
        <v>529</v>
      </c>
      <c r="T29" t="s">
        <v>530</v>
      </c>
      <c r="U29" t="s">
        <v>531</v>
      </c>
      <c r="V29" t="s">
        <v>653</v>
      </c>
      <c r="W29" t="s">
        <v>313</v>
      </c>
      <c r="X29" t="s">
        <v>313</v>
      </c>
      <c r="Y29" t="s">
        <v>313</v>
      </c>
      <c r="Z29" t="s">
        <v>313</v>
      </c>
      <c r="AA29" t="s">
        <v>313</v>
      </c>
      <c r="AB29" t="s">
        <v>313</v>
      </c>
      <c r="AC29">
        <v>0</v>
      </c>
    </row>
    <row r="30" spans="4:29" x14ac:dyDescent="0.25">
      <c r="D30" t="s">
        <v>25</v>
      </c>
      <c r="E30" t="s">
        <v>356</v>
      </c>
      <c r="F30" t="s">
        <v>1872</v>
      </c>
      <c r="G30">
        <v>8161</v>
      </c>
      <c r="H30" t="s">
        <v>911</v>
      </c>
      <c r="I30" t="s">
        <v>766</v>
      </c>
      <c r="J30" t="s">
        <v>451</v>
      </c>
      <c r="K30" t="s">
        <v>1873</v>
      </c>
      <c r="L30" t="s">
        <v>1874</v>
      </c>
      <c r="M30" t="s">
        <v>401</v>
      </c>
      <c r="N30" t="s">
        <v>306</v>
      </c>
      <c r="O30" t="s">
        <v>432</v>
      </c>
      <c r="P30" t="s">
        <v>766</v>
      </c>
      <c r="Q30" t="s">
        <v>309</v>
      </c>
      <c r="R30" t="s">
        <v>766</v>
      </c>
      <c r="S30" t="s">
        <v>766</v>
      </c>
      <c r="T30" t="s">
        <v>535</v>
      </c>
      <c r="U30" t="s">
        <v>536</v>
      </c>
      <c r="V30" t="s">
        <v>499</v>
      </c>
      <c r="W30" t="s">
        <v>313</v>
      </c>
      <c r="X30" t="s">
        <v>313</v>
      </c>
      <c r="Y30" t="s">
        <v>313</v>
      </c>
      <c r="Z30" t="s">
        <v>313</v>
      </c>
      <c r="AA30" t="s">
        <v>309</v>
      </c>
      <c r="AB30" t="s">
        <v>309</v>
      </c>
      <c r="AC30">
        <v>4</v>
      </c>
    </row>
    <row r="31" spans="4:29" x14ac:dyDescent="0.25">
      <c r="D31" t="s">
        <v>26</v>
      </c>
      <c r="E31" t="s">
        <v>340</v>
      </c>
      <c r="F31" t="s">
        <v>1804</v>
      </c>
      <c r="G31">
        <v>4</v>
      </c>
      <c r="H31" t="s">
        <v>537</v>
      </c>
      <c r="I31" t="s">
        <v>309</v>
      </c>
      <c r="J31" t="s">
        <v>309</v>
      </c>
      <c r="K31" t="s">
        <v>309</v>
      </c>
      <c r="L31" t="s">
        <v>309</v>
      </c>
      <c r="M31" t="s">
        <v>309</v>
      </c>
      <c r="N31" t="s">
        <v>309</v>
      </c>
      <c r="O31" t="s">
        <v>309</v>
      </c>
      <c r="P31" t="s">
        <v>313</v>
      </c>
      <c r="Q31" t="s">
        <v>309</v>
      </c>
      <c r="R31" t="s">
        <v>309</v>
      </c>
      <c r="S31" t="s">
        <v>309</v>
      </c>
      <c r="T31" t="s">
        <v>538</v>
      </c>
      <c r="U31" t="s">
        <v>539</v>
      </c>
      <c r="V31" t="s">
        <v>499</v>
      </c>
      <c r="W31" t="s">
        <v>313</v>
      </c>
      <c r="X31" t="s">
        <v>313</v>
      </c>
      <c r="Y31" t="s">
        <v>313</v>
      </c>
      <c r="Z31" t="s">
        <v>313</v>
      </c>
      <c r="AA31" t="s">
        <v>309</v>
      </c>
      <c r="AB31" t="s">
        <v>313</v>
      </c>
      <c r="AC31">
        <v>1</v>
      </c>
    </row>
    <row r="32" spans="4:29" x14ac:dyDescent="0.25">
      <c r="D32" t="s">
        <v>27</v>
      </c>
      <c r="E32" t="s">
        <v>315</v>
      </c>
      <c r="F32" t="s">
        <v>1875</v>
      </c>
      <c r="G32">
        <v>49417</v>
      </c>
      <c r="H32" t="s">
        <v>540</v>
      </c>
      <c r="I32" t="s">
        <v>533</v>
      </c>
      <c r="J32" t="s">
        <v>1181</v>
      </c>
      <c r="K32" t="s">
        <v>1805</v>
      </c>
      <c r="L32" t="s">
        <v>309</v>
      </c>
      <c r="M32" t="s">
        <v>444</v>
      </c>
      <c r="N32" t="s">
        <v>958</v>
      </c>
      <c r="O32" t="s">
        <v>309</v>
      </c>
      <c r="P32" t="s">
        <v>533</v>
      </c>
      <c r="Q32" t="s">
        <v>309</v>
      </c>
      <c r="R32" t="s">
        <v>533</v>
      </c>
      <c r="S32" t="s">
        <v>533</v>
      </c>
      <c r="T32" t="s">
        <v>543</v>
      </c>
      <c r="U32" t="s">
        <v>544</v>
      </c>
      <c r="V32" t="s">
        <v>545</v>
      </c>
      <c r="W32" t="s">
        <v>313</v>
      </c>
      <c r="X32" t="s">
        <v>313</v>
      </c>
      <c r="Y32" t="s">
        <v>313</v>
      </c>
      <c r="Z32" t="s">
        <v>313</v>
      </c>
      <c r="AA32" t="s">
        <v>313</v>
      </c>
      <c r="AB32" t="s">
        <v>313</v>
      </c>
      <c r="AC32">
        <v>0</v>
      </c>
    </row>
    <row r="33" spans="4:29" x14ac:dyDescent="0.25">
      <c r="D33" t="s">
        <v>28</v>
      </c>
      <c r="E33" t="s">
        <v>340</v>
      </c>
      <c r="F33" t="s">
        <v>1876</v>
      </c>
      <c r="G33">
        <v>576</v>
      </c>
      <c r="H33" t="s">
        <v>1118</v>
      </c>
      <c r="I33" t="s">
        <v>361</v>
      </c>
      <c r="J33" t="s">
        <v>845</v>
      </c>
      <c r="K33" t="s">
        <v>1052</v>
      </c>
      <c r="L33" t="s">
        <v>1877</v>
      </c>
      <c r="M33" t="s">
        <v>527</v>
      </c>
      <c r="N33" t="s">
        <v>347</v>
      </c>
      <c r="O33" t="s">
        <v>606</v>
      </c>
      <c r="P33" t="s">
        <v>361</v>
      </c>
      <c r="Q33" t="s">
        <v>309</v>
      </c>
      <c r="R33" t="s">
        <v>361</v>
      </c>
      <c r="S33" t="s">
        <v>361</v>
      </c>
      <c r="T33" t="s">
        <v>552</v>
      </c>
      <c r="U33" t="s">
        <v>553</v>
      </c>
      <c r="V33" t="s">
        <v>520</v>
      </c>
      <c r="W33" t="s">
        <v>313</v>
      </c>
      <c r="X33" t="s">
        <v>313</v>
      </c>
      <c r="Y33" t="s">
        <v>313</v>
      </c>
      <c r="Z33" t="s">
        <v>313</v>
      </c>
      <c r="AA33" t="s">
        <v>309</v>
      </c>
      <c r="AB33" t="s">
        <v>313</v>
      </c>
      <c r="AC33">
        <v>2</v>
      </c>
    </row>
    <row r="34" spans="4:29" x14ac:dyDescent="0.25">
      <c r="D34" t="s">
        <v>29</v>
      </c>
      <c r="E34" t="s">
        <v>449</v>
      </c>
      <c r="F34" t="s">
        <v>1878</v>
      </c>
      <c r="G34">
        <v>204</v>
      </c>
      <c r="H34" t="s">
        <v>387</v>
      </c>
      <c r="I34" t="s">
        <v>554</v>
      </c>
      <c r="J34" t="s">
        <v>555</v>
      </c>
      <c r="K34" t="s">
        <v>556</v>
      </c>
      <c r="L34" t="s">
        <v>557</v>
      </c>
      <c r="M34" t="s">
        <v>408</v>
      </c>
      <c r="N34" t="s">
        <v>558</v>
      </c>
      <c r="O34" t="s">
        <v>401</v>
      </c>
      <c r="P34" t="s">
        <v>554</v>
      </c>
      <c r="Q34" t="s">
        <v>309</v>
      </c>
      <c r="R34" t="s">
        <v>554</v>
      </c>
      <c r="S34" t="s">
        <v>554</v>
      </c>
      <c r="T34" t="s">
        <v>559</v>
      </c>
      <c r="U34" t="s">
        <v>560</v>
      </c>
      <c r="V34" t="s">
        <v>1806</v>
      </c>
      <c r="W34" t="s">
        <v>313</v>
      </c>
      <c r="X34" t="s">
        <v>313</v>
      </c>
      <c r="Y34" t="s">
        <v>313</v>
      </c>
      <c r="Z34" t="s">
        <v>313</v>
      </c>
      <c r="AA34" t="s">
        <v>309</v>
      </c>
      <c r="AB34" t="s">
        <v>313</v>
      </c>
      <c r="AC34">
        <v>18</v>
      </c>
    </row>
    <row r="35" spans="4:29" x14ac:dyDescent="0.25">
      <c r="D35" t="s">
        <v>30</v>
      </c>
      <c r="E35" t="s">
        <v>315</v>
      </c>
      <c r="F35" t="s">
        <v>1879</v>
      </c>
      <c r="G35">
        <v>4700</v>
      </c>
      <c r="H35" t="s">
        <v>561</v>
      </c>
      <c r="I35" t="s">
        <v>454</v>
      </c>
      <c r="J35" t="s">
        <v>562</v>
      </c>
      <c r="K35" t="s">
        <v>563</v>
      </c>
      <c r="L35" t="s">
        <v>564</v>
      </c>
      <c r="M35" t="s">
        <v>445</v>
      </c>
      <c r="N35" t="s">
        <v>565</v>
      </c>
      <c r="O35" t="s">
        <v>566</v>
      </c>
      <c r="P35" t="s">
        <v>454</v>
      </c>
      <c r="Q35" t="s">
        <v>309</v>
      </c>
      <c r="R35" t="s">
        <v>454</v>
      </c>
      <c r="S35" t="s">
        <v>454</v>
      </c>
      <c r="T35" t="s">
        <v>567</v>
      </c>
      <c r="U35" t="s">
        <v>568</v>
      </c>
      <c r="V35" t="s">
        <v>339</v>
      </c>
      <c r="W35" t="s">
        <v>313</v>
      </c>
      <c r="X35" t="s">
        <v>313</v>
      </c>
      <c r="Y35" t="s">
        <v>313</v>
      </c>
      <c r="Z35" t="s">
        <v>313</v>
      </c>
      <c r="AA35" t="s">
        <v>313</v>
      </c>
      <c r="AB35" t="s">
        <v>313</v>
      </c>
      <c r="AC35">
        <v>0</v>
      </c>
    </row>
    <row r="36" spans="4:29" x14ac:dyDescent="0.25">
      <c r="D36" t="s">
        <v>31</v>
      </c>
      <c r="E36" t="s">
        <v>301</v>
      </c>
      <c r="F36" t="s">
        <v>1880</v>
      </c>
      <c r="G36">
        <v>76</v>
      </c>
      <c r="H36" t="s">
        <v>1196</v>
      </c>
      <c r="I36" t="s">
        <v>597</v>
      </c>
      <c r="J36" t="s">
        <v>380</v>
      </c>
      <c r="K36" t="s">
        <v>309</v>
      </c>
      <c r="L36" t="s">
        <v>309</v>
      </c>
      <c r="M36" t="s">
        <v>1123</v>
      </c>
      <c r="N36" t="s">
        <v>309</v>
      </c>
      <c r="O36" t="s">
        <v>309</v>
      </c>
      <c r="P36" t="s">
        <v>332</v>
      </c>
      <c r="Q36" t="s">
        <v>913</v>
      </c>
      <c r="R36" t="s">
        <v>371</v>
      </c>
      <c r="S36" t="s">
        <v>1881</v>
      </c>
      <c r="T36" t="s">
        <v>572</v>
      </c>
      <c r="U36" t="s">
        <v>573</v>
      </c>
      <c r="V36" t="s">
        <v>574</v>
      </c>
      <c r="W36" t="s">
        <v>313</v>
      </c>
      <c r="X36" t="s">
        <v>313</v>
      </c>
      <c r="Y36" t="s">
        <v>313</v>
      </c>
      <c r="Z36" t="s">
        <v>313</v>
      </c>
      <c r="AA36" t="s">
        <v>575</v>
      </c>
      <c r="AB36" t="s">
        <v>313</v>
      </c>
      <c r="AC36">
        <v>7</v>
      </c>
    </row>
    <row r="37" spans="4:29" x14ac:dyDescent="0.25">
      <c r="D37" t="s">
        <v>32</v>
      </c>
      <c r="E37" t="s">
        <v>356</v>
      </c>
      <c r="F37" t="s">
        <v>1882</v>
      </c>
      <c r="G37">
        <v>27287</v>
      </c>
      <c r="H37" t="s">
        <v>576</v>
      </c>
      <c r="I37" t="s">
        <v>358</v>
      </c>
      <c r="J37" t="s">
        <v>577</v>
      </c>
      <c r="K37" t="s">
        <v>578</v>
      </c>
      <c r="L37" t="s">
        <v>579</v>
      </c>
      <c r="M37" t="s">
        <v>358</v>
      </c>
      <c r="N37" t="s">
        <v>580</v>
      </c>
      <c r="O37" t="s">
        <v>495</v>
      </c>
      <c r="P37" t="s">
        <v>358</v>
      </c>
      <c r="Q37" t="s">
        <v>309</v>
      </c>
      <c r="R37" t="s">
        <v>358</v>
      </c>
      <c r="S37" t="s">
        <v>358</v>
      </c>
      <c r="T37" t="s">
        <v>581</v>
      </c>
      <c r="U37" t="s">
        <v>582</v>
      </c>
      <c r="V37" t="s">
        <v>339</v>
      </c>
      <c r="W37" t="s">
        <v>313</v>
      </c>
      <c r="X37" t="s">
        <v>313</v>
      </c>
      <c r="Y37" t="s">
        <v>313</v>
      </c>
      <c r="Z37" t="s">
        <v>313</v>
      </c>
      <c r="AA37" t="s">
        <v>309</v>
      </c>
      <c r="AB37" t="s">
        <v>309</v>
      </c>
      <c r="AC37">
        <v>10</v>
      </c>
    </row>
    <row r="38" spans="4:29" x14ac:dyDescent="0.25">
      <c r="D38" t="s">
        <v>33</v>
      </c>
      <c r="E38" t="s">
        <v>369</v>
      </c>
      <c r="F38" t="s">
        <v>1883</v>
      </c>
      <c r="G38">
        <v>22134</v>
      </c>
      <c r="H38" t="s">
        <v>583</v>
      </c>
      <c r="I38" t="s">
        <v>586</v>
      </c>
      <c r="J38" t="s">
        <v>1884</v>
      </c>
      <c r="K38" t="s">
        <v>1166</v>
      </c>
      <c r="L38" t="s">
        <v>1085</v>
      </c>
      <c r="M38" t="s">
        <v>586</v>
      </c>
      <c r="N38" t="s">
        <v>631</v>
      </c>
      <c r="O38" t="s">
        <v>361</v>
      </c>
      <c r="P38" t="s">
        <v>1085</v>
      </c>
      <c r="Q38" t="s">
        <v>1885</v>
      </c>
      <c r="R38" t="s">
        <v>1886</v>
      </c>
      <c r="S38" t="s">
        <v>1887</v>
      </c>
      <c r="T38" t="s">
        <v>588</v>
      </c>
      <c r="U38" t="s">
        <v>589</v>
      </c>
      <c r="V38" t="s">
        <v>1558</v>
      </c>
      <c r="W38" t="s">
        <v>313</v>
      </c>
      <c r="X38" t="s">
        <v>313</v>
      </c>
      <c r="Y38" t="s">
        <v>313</v>
      </c>
      <c r="Z38" t="s">
        <v>313</v>
      </c>
      <c r="AA38" t="s">
        <v>591</v>
      </c>
      <c r="AB38" t="s">
        <v>592</v>
      </c>
      <c r="AC38">
        <v>15</v>
      </c>
    </row>
    <row r="39" spans="4:29" x14ac:dyDescent="0.25">
      <c r="D39" t="s">
        <v>34</v>
      </c>
      <c r="E39" t="s">
        <v>369</v>
      </c>
      <c r="F39" t="s">
        <v>1869</v>
      </c>
      <c r="G39">
        <v>310</v>
      </c>
      <c r="H39" t="s">
        <v>1118</v>
      </c>
      <c r="I39" t="s">
        <v>807</v>
      </c>
      <c r="J39" t="s">
        <v>1807</v>
      </c>
      <c r="K39" t="s">
        <v>550</v>
      </c>
      <c r="L39" t="s">
        <v>1204</v>
      </c>
      <c r="M39" t="s">
        <v>570</v>
      </c>
      <c r="N39" t="s">
        <v>495</v>
      </c>
      <c r="O39" t="s">
        <v>571</v>
      </c>
      <c r="P39" t="s">
        <v>807</v>
      </c>
      <c r="Q39" t="s">
        <v>309</v>
      </c>
      <c r="R39" t="s">
        <v>807</v>
      </c>
      <c r="S39" t="s">
        <v>807</v>
      </c>
      <c r="T39" t="s">
        <v>600</v>
      </c>
      <c r="U39" t="s">
        <v>601</v>
      </c>
      <c r="V39" t="s">
        <v>602</v>
      </c>
      <c r="W39" t="s">
        <v>313</v>
      </c>
      <c r="X39" t="s">
        <v>313</v>
      </c>
      <c r="Y39" t="s">
        <v>313</v>
      </c>
      <c r="Z39" t="s">
        <v>313</v>
      </c>
      <c r="AA39" t="s">
        <v>309</v>
      </c>
      <c r="AB39" t="s">
        <v>313</v>
      </c>
      <c r="AC39">
        <v>12</v>
      </c>
    </row>
    <row r="40" spans="4:29" x14ac:dyDescent="0.25">
      <c r="D40" t="s">
        <v>35</v>
      </c>
      <c r="E40" t="s">
        <v>369</v>
      </c>
      <c r="F40" t="s">
        <v>603</v>
      </c>
      <c r="G40">
        <v>1</v>
      </c>
      <c r="H40" t="s">
        <v>604</v>
      </c>
      <c r="I40" t="s">
        <v>586</v>
      </c>
      <c r="J40" t="s">
        <v>605</v>
      </c>
      <c r="K40" t="s">
        <v>605</v>
      </c>
      <c r="L40" t="s">
        <v>605</v>
      </c>
      <c r="M40" t="s">
        <v>606</v>
      </c>
      <c r="N40" t="s">
        <v>607</v>
      </c>
      <c r="O40" t="s">
        <v>608</v>
      </c>
      <c r="P40" t="s">
        <v>605</v>
      </c>
      <c r="Q40" t="s">
        <v>609</v>
      </c>
      <c r="R40" t="s">
        <v>610</v>
      </c>
      <c r="S40" t="s">
        <v>611</v>
      </c>
      <c r="T40" t="s">
        <v>612</v>
      </c>
      <c r="U40" t="s">
        <v>613</v>
      </c>
      <c r="V40" t="s">
        <v>614</v>
      </c>
      <c r="W40" t="s">
        <v>313</v>
      </c>
      <c r="X40" t="s">
        <v>313</v>
      </c>
      <c r="Y40" t="s">
        <v>313</v>
      </c>
      <c r="Z40" t="s">
        <v>313</v>
      </c>
      <c r="AA40" t="s">
        <v>313</v>
      </c>
      <c r="AB40" t="s">
        <v>313</v>
      </c>
      <c r="AC40">
        <v>0</v>
      </c>
    </row>
    <row r="41" spans="4:29" x14ac:dyDescent="0.25">
      <c r="D41" t="s">
        <v>36</v>
      </c>
      <c r="E41" t="s">
        <v>449</v>
      </c>
      <c r="F41" t="s">
        <v>1808</v>
      </c>
      <c r="G41">
        <v>6929</v>
      </c>
      <c r="H41" t="s">
        <v>615</v>
      </c>
      <c r="I41" t="s">
        <v>454</v>
      </c>
      <c r="J41" t="s">
        <v>616</v>
      </c>
      <c r="K41" t="s">
        <v>617</v>
      </c>
      <c r="L41" t="s">
        <v>309</v>
      </c>
      <c r="M41" t="s">
        <v>454</v>
      </c>
      <c r="N41" t="s">
        <v>345</v>
      </c>
      <c r="O41" t="s">
        <v>309</v>
      </c>
      <c r="P41" t="s">
        <v>618</v>
      </c>
      <c r="Q41" t="s">
        <v>307</v>
      </c>
      <c r="R41" t="s">
        <v>619</v>
      </c>
      <c r="S41" t="s">
        <v>620</v>
      </c>
      <c r="T41" t="s">
        <v>621</v>
      </c>
      <c r="U41" t="s">
        <v>622</v>
      </c>
      <c r="V41" t="s">
        <v>458</v>
      </c>
      <c r="W41" t="s">
        <v>313</v>
      </c>
      <c r="X41" t="s">
        <v>313</v>
      </c>
      <c r="Y41" t="s">
        <v>313</v>
      </c>
      <c r="Z41" t="s">
        <v>313</v>
      </c>
      <c r="AA41" t="s">
        <v>313</v>
      </c>
      <c r="AB41" t="s">
        <v>313</v>
      </c>
      <c r="AC41">
        <v>7</v>
      </c>
    </row>
    <row r="42" spans="4:29" x14ac:dyDescent="0.25">
      <c r="D42" t="s">
        <v>37</v>
      </c>
      <c r="E42" t="s">
        <v>315</v>
      </c>
      <c r="F42" t="s">
        <v>1888</v>
      </c>
      <c r="G42">
        <v>10817</v>
      </c>
      <c r="H42" t="s">
        <v>1174</v>
      </c>
      <c r="I42" t="s">
        <v>413</v>
      </c>
      <c r="J42" t="s">
        <v>1889</v>
      </c>
      <c r="K42" t="s">
        <v>1873</v>
      </c>
      <c r="L42" t="s">
        <v>1890</v>
      </c>
      <c r="M42" t="s">
        <v>303</v>
      </c>
      <c r="N42" t="s">
        <v>306</v>
      </c>
      <c r="O42" t="s">
        <v>345</v>
      </c>
      <c r="P42" t="s">
        <v>413</v>
      </c>
      <c r="Q42" t="s">
        <v>309</v>
      </c>
      <c r="R42" t="s">
        <v>413</v>
      </c>
      <c r="S42" t="s">
        <v>413</v>
      </c>
      <c r="T42" t="s">
        <v>627</v>
      </c>
      <c r="U42" t="s">
        <v>628</v>
      </c>
      <c r="V42" t="s">
        <v>614</v>
      </c>
      <c r="W42" t="s">
        <v>313</v>
      </c>
      <c r="X42" t="s">
        <v>313</v>
      </c>
      <c r="Y42" t="s">
        <v>313</v>
      </c>
      <c r="Z42" t="s">
        <v>313</v>
      </c>
      <c r="AA42" t="s">
        <v>313</v>
      </c>
      <c r="AB42" t="s">
        <v>313</v>
      </c>
      <c r="AC42">
        <v>0</v>
      </c>
    </row>
    <row r="43" spans="4:29" x14ac:dyDescent="0.25">
      <c r="D43" t="s">
        <v>38</v>
      </c>
      <c r="E43" t="s">
        <v>356</v>
      </c>
      <c r="F43" t="s">
        <v>1891</v>
      </c>
      <c r="G43">
        <v>31985</v>
      </c>
      <c r="H43" t="s">
        <v>630</v>
      </c>
      <c r="I43" t="s">
        <v>631</v>
      </c>
      <c r="J43" t="s">
        <v>632</v>
      </c>
      <c r="K43" t="s">
        <v>633</v>
      </c>
      <c r="L43" t="s">
        <v>634</v>
      </c>
      <c r="M43" t="s">
        <v>635</v>
      </c>
      <c r="N43" t="s">
        <v>631</v>
      </c>
      <c r="O43" t="s">
        <v>636</v>
      </c>
      <c r="P43" t="s">
        <v>634</v>
      </c>
      <c r="Q43" t="s">
        <v>637</v>
      </c>
      <c r="R43" t="s">
        <v>638</v>
      </c>
      <c r="S43" t="s">
        <v>639</v>
      </c>
      <c r="T43" t="s">
        <v>640</v>
      </c>
      <c r="U43" t="s">
        <v>641</v>
      </c>
      <c r="V43" t="s">
        <v>405</v>
      </c>
      <c r="W43" t="s">
        <v>313</v>
      </c>
      <c r="X43" t="s">
        <v>313</v>
      </c>
      <c r="Y43" t="s">
        <v>313</v>
      </c>
      <c r="Z43" t="s">
        <v>313</v>
      </c>
      <c r="AA43" t="s">
        <v>313</v>
      </c>
      <c r="AB43" t="s">
        <v>643</v>
      </c>
      <c r="AC43">
        <v>16</v>
      </c>
    </row>
    <row r="44" spans="4:29" x14ac:dyDescent="0.25">
      <c r="D44" t="s">
        <v>39</v>
      </c>
      <c r="E44" t="s">
        <v>449</v>
      </c>
      <c r="F44" t="s">
        <v>503</v>
      </c>
      <c r="G44">
        <v>5769</v>
      </c>
      <c r="H44" t="s">
        <v>645</v>
      </c>
      <c r="I44" t="s">
        <v>444</v>
      </c>
      <c r="J44" t="s">
        <v>541</v>
      </c>
      <c r="K44" t="s">
        <v>646</v>
      </c>
      <c r="L44" t="s">
        <v>309</v>
      </c>
      <c r="M44" t="s">
        <v>306</v>
      </c>
      <c r="N44" t="s">
        <v>647</v>
      </c>
      <c r="O44" t="s">
        <v>309</v>
      </c>
      <c r="P44" t="s">
        <v>648</v>
      </c>
      <c r="Q44" t="s">
        <v>418</v>
      </c>
      <c r="R44" t="s">
        <v>649</v>
      </c>
      <c r="S44" t="s">
        <v>650</v>
      </c>
      <c r="T44" t="s">
        <v>651</v>
      </c>
      <c r="U44" t="s">
        <v>652</v>
      </c>
      <c r="V44" t="s">
        <v>653</v>
      </c>
      <c r="W44" t="s">
        <v>313</v>
      </c>
      <c r="X44" t="s">
        <v>313</v>
      </c>
      <c r="Y44" t="s">
        <v>313</v>
      </c>
      <c r="Z44" t="s">
        <v>313</v>
      </c>
      <c r="AA44" t="s">
        <v>313</v>
      </c>
      <c r="AB44" t="s">
        <v>313</v>
      </c>
      <c r="AC44">
        <v>0</v>
      </c>
    </row>
    <row r="45" spans="4:29" x14ac:dyDescent="0.25">
      <c r="D45" t="s">
        <v>40</v>
      </c>
      <c r="E45" t="s">
        <v>369</v>
      </c>
      <c r="F45" t="s">
        <v>313</v>
      </c>
      <c r="G45" t="s">
        <v>313</v>
      </c>
      <c r="H45" t="s">
        <v>654</v>
      </c>
      <c r="I45" t="s">
        <v>309</v>
      </c>
      <c r="J45" t="s">
        <v>309</v>
      </c>
      <c r="K45" t="s">
        <v>309</v>
      </c>
      <c r="L45" t="s">
        <v>309</v>
      </c>
      <c r="M45" t="s">
        <v>309</v>
      </c>
      <c r="N45" t="s">
        <v>309</v>
      </c>
      <c r="O45" t="s">
        <v>309</v>
      </c>
      <c r="P45" t="s">
        <v>313</v>
      </c>
      <c r="Q45" t="s">
        <v>309</v>
      </c>
      <c r="R45" t="s">
        <v>309</v>
      </c>
      <c r="S45" t="s">
        <v>309</v>
      </c>
      <c r="T45" t="s">
        <v>655</v>
      </c>
      <c r="U45" t="s">
        <v>656</v>
      </c>
      <c r="V45" t="s">
        <v>313</v>
      </c>
      <c r="W45" t="s">
        <v>313</v>
      </c>
      <c r="X45" t="s">
        <v>313</v>
      </c>
      <c r="Y45" t="s">
        <v>313</v>
      </c>
      <c r="Z45" t="s">
        <v>313</v>
      </c>
      <c r="AA45" t="s">
        <v>313</v>
      </c>
      <c r="AB45" t="s">
        <v>313</v>
      </c>
      <c r="AC45">
        <v>0</v>
      </c>
    </row>
    <row r="46" spans="4:29" x14ac:dyDescent="0.25">
      <c r="D46" t="s">
        <v>41</v>
      </c>
      <c r="E46" t="s">
        <v>340</v>
      </c>
      <c r="F46" t="s">
        <v>657</v>
      </c>
      <c r="G46">
        <v>3</v>
      </c>
      <c r="H46" t="s">
        <v>658</v>
      </c>
      <c r="I46" t="s">
        <v>309</v>
      </c>
      <c r="J46" t="s">
        <v>309</v>
      </c>
      <c r="K46" t="s">
        <v>309</v>
      </c>
      <c r="L46" t="s">
        <v>309</v>
      </c>
      <c r="M46" t="s">
        <v>309</v>
      </c>
      <c r="N46" t="s">
        <v>309</v>
      </c>
      <c r="O46" t="s">
        <v>309</v>
      </c>
      <c r="P46" t="s">
        <v>313</v>
      </c>
      <c r="Q46" t="s">
        <v>309</v>
      </c>
      <c r="R46" t="s">
        <v>309</v>
      </c>
      <c r="S46" t="s">
        <v>309</v>
      </c>
      <c r="T46" t="s">
        <v>659</v>
      </c>
      <c r="U46" t="s">
        <v>660</v>
      </c>
      <c r="V46" t="s">
        <v>499</v>
      </c>
      <c r="W46" t="s">
        <v>313</v>
      </c>
      <c r="X46" t="s">
        <v>313</v>
      </c>
      <c r="Y46" t="s">
        <v>313</v>
      </c>
      <c r="Z46" t="s">
        <v>313</v>
      </c>
      <c r="AA46" t="s">
        <v>661</v>
      </c>
      <c r="AB46" t="s">
        <v>313</v>
      </c>
      <c r="AC46">
        <v>1</v>
      </c>
    </row>
    <row r="47" spans="4:29" x14ac:dyDescent="0.25">
      <c r="D47" t="s">
        <v>42</v>
      </c>
      <c r="E47" t="s">
        <v>315</v>
      </c>
      <c r="F47" t="s">
        <v>662</v>
      </c>
      <c r="G47">
        <v>44041</v>
      </c>
      <c r="H47" t="s">
        <v>351</v>
      </c>
      <c r="I47" t="s">
        <v>309</v>
      </c>
      <c r="J47" t="s">
        <v>309</v>
      </c>
      <c r="K47" t="s">
        <v>309</v>
      </c>
      <c r="L47" t="s">
        <v>309</v>
      </c>
      <c r="M47" t="s">
        <v>309</v>
      </c>
      <c r="N47" t="s">
        <v>309</v>
      </c>
      <c r="O47" t="s">
        <v>309</v>
      </c>
      <c r="P47" t="s">
        <v>309</v>
      </c>
      <c r="Q47" t="s">
        <v>631</v>
      </c>
      <c r="R47" t="s">
        <v>631</v>
      </c>
      <c r="S47" t="s">
        <v>413</v>
      </c>
      <c r="T47" t="s">
        <v>663</v>
      </c>
      <c r="U47" t="s">
        <v>664</v>
      </c>
      <c r="V47" t="s">
        <v>665</v>
      </c>
      <c r="W47" t="s">
        <v>313</v>
      </c>
      <c r="X47" t="s">
        <v>313</v>
      </c>
      <c r="Y47" t="s">
        <v>313</v>
      </c>
      <c r="Z47" t="s">
        <v>313</v>
      </c>
      <c r="AA47" t="s">
        <v>313</v>
      </c>
      <c r="AB47" t="s">
        <v>313</v>
      </c>
      <c r="AC47">
        <v>0</v>
      </c>
    </row>
    <row r="48" spans="4:29" x14ac:dyDescent="0.25">
      <c r="D48" t="s">
        <v>43</v>
      </c>
      <c r="E48" t="s">
        <v>369</v>
      </c>
      <c r="F48" t="s">
        <v>589</v>
      </c>
      <c r="G48">
        <v>1007</v>
      </c>
      <c r="H48" t="s">
        <v>666</v>
      </c>
      <c r="I48" t="s">
        <v>667</v>
      </c>
      <c r="J48" t="s">
        <v>646</v>
      </c>
      <c r="K48" t="s">
        <v>668</v>
      </c>
      <c r="L48" t="s">
        <v>669</v>
      </c>
      <c r="M48" t="s">
        <v>598</v>
      </c>
      <c r="N48" t="s">
        <v>317</v>
      </c>
      <c r="O48" t="s">
        <v>320</v>
      </c>
      <c r="P48" t="s">
        <v>667</v>
      </c>
      <c r="Q48" t="s">
        <v>309</v>
      </c>
      <c r="R48" t="s">
        <v>667</v>
      </c>
      <c r="S48" t="s">
        <v>667</v>
      </c>
      <c r="T48" t="s">
        <v>670</v>
      </c>
      <c r="U48" t="s">
        <v>671</v>
      </c>
      <c r="V48" t="s">
        <v>672</v>
      </c>
      <c r="W48" t="s">
        <v>313</v>
      </c>
      <c r="X48" t="s">
        <v>313</v>
      </c>
      <c r="Y48" t="s">
        <v>313</v>
      </c>
      <c r="Z48" t="s">
        <v>313</v>
      </c>
      <c r="AA48" t="s">
        <v>313</v>
      </c>
      <c r="AB48" t="s">
        <v>313</v>
      </c>
      <c r="AC48">
        <v>0</v>
      </c>
    </row>
    <row r="49" spans="4:29" x14ac:dyDescent="0.25">
      <c r="D49" t="s">
        <v>44</v>
      </c>
      <c r="E49" t="s">
        <v>369</v>
      </c>
      <c r="F49" t="s">
        <v>1892</v>
      </c>
      <c r="G49">
        <v>31314</v>
      </c>
      <c r="H49" t="s">
        <v>351</v>
      </c>
      <c r="I49" t="s">
        <v>673</v>
      </c>
      <c r="J49" t="s">
        <v>549</v>
      </c>
      <c r="K49" t="s">
        <v>380</v>
      </c>
      <c r="L49" t="s">
        <v>674</v>
      </c>
      <c r="M49" t="s">
        <v>397</v>
      </c>
      <c r="N49" t="s">
        <v>673</v>
      </c>
      <c r="O49" t="s">
        <v>675</v>
      </c>
      <c r="P49" t="s">
        <v>380</v>
      </c>
      <c r="Q49" t="s">
        <v>676</v>
      </c>
      <c r="R49" t="s">
        <v>677</v>
      </c>
      <c r="S49" t="s">
        <v>678</v>
      </c>
      <c r="T49" t="s">
        <v>679</v>
      </c>
      <c r="U49" t="s">
        <v>680</v>
      </c>
      <c r="V49" t="s">
        <v>1893</v>
      </c>
      <c r="W49" t="s">
        <v>313</v>
      </c>
      <c r="X49" t="s">
        <v>313</v>
      </c>
      <c r="Y49" t="s">
        <v>313</v>
      </c>
      <c r="Z49" t="s">
        <v>313</v>
      </c>
      <c r="AA49" t="s">
        <v>313</v>
      </c>
      <c r="AB49" t="s">
        <v>313</v>
      </c>
      <c r="AC49">
        <v>0</v>
      </c>
    </row>
    <row r="50" spans="4:29" x14ac:dyDescent="0.25">
      <c r="D50" t="s">
        <v>45</v>
      </c>
      <c r="E50" t="s">
        <v>340</v>
      </c>
      <c r="F50" t="s">
        <v>1894</v>
      </c>
      <c r="G50">
        <v>767</v>
      </c>
      <c r="H50" t="s">
        <v>681</v>
      </c>
      <c r="I50" t="s">
        <v>606</v>
      </c>
      <c r="J50" t="s">
        <v>682</v>
      </c>
      <c r="K50" t="s">
        <v>683</v>
      </c>
      <c r="L50" t="s">
        <v>684</v>
      </c>
      <c r="M50" t="s">
        <v>685</v>
      </c>
      <c r="N50" t="s">
        <v>686</v>
      </c>
      <c r="O50" t="s">
        <v>329</v>
      </c>
      <c r="P50" t="s">
        <v>606</v>
      </c>
      <c r="Q50" t="s">
        <v>309</v>
      </c>
      <c r="R50" t="s">
        <v>606</v>
      </c>
      <c r="S50" t="s">
        <v>606</v>
      </c>
      <c r="T50" t="s">
        <v>687</v>
      </c>
      <c r="U50" t="s">
        <v>688</v>
      </c>
      <c r="V50" t="s">
        <v>926</v>
      </c>
      <c r="W50" t="s">
        <v>313</v>
      </c>
      <c r="X50" t="s">
        <v>313</v>
      </c>
      <c r="Y50" t="s">
        <v>313</v>
      </c>
      <c r="Z50" t="s">
        <v>313</v>
      </c>
      <c r="AA50" t="s">
        <v>689</v>
      </c>
      <c r="AB50" t="s">
        <v>690</v>
      </c>
      <c r="AC50">
        <v>1</v>
      </c>
    </row>
    <row r="51" spans="4:29" x14ac:dyDescent="0.25">
      <c r="D51" t="s">
        <v>46</v>
      </c>
      <c r="E51" t="s">
        <v>315</v>
      </c>
      <c r="F51" t="s">
        <v>1895</v>
      </c>
      <c r="G51">
        <v>55</v>
      </c>
      <c r="H51" t="s">
        <v>691</v>
      </c>
      <c r="I51" t="s">
        <v>388</v>
      </c>
      <c r="J51" t="s">
        <v>309</v>
      </c>
      <c r="K51" t="s">
        <v>309</v>
      </c>
      <c r="L51" t="s">
        <v>309</v>
      </c>
      <c r="M51" t="s">
        <v>309</v>
      </c>
      <c r="N51" t="s">
        <v>309</v>
      </c>
      <c r="O51" t="s">
        <v>309</v>
      </c>
      <c r="P51" t="s">
        <v>594</v>
      </c>
      <c r="Q51" t="s">
        <v>692</v>
      </c>
      <c r="R51" t="s">
        <v>466</v>
      </c>
      <c r="S51" t="s">
        <v>638</v>
      </c>
      <c r="T51" t="s">
        <v>693</v>
      </c>
      <c r="U51" t="s">
        <v>694</v>
      </c>
      <c r="V51" t="s">
        <v>532</v>
      </c>
      <c r="W51" t="s">
        <v>313</v>
      </c>
      <c r="X51" t="s">
        <v>313</v>
      </c>
      <c r="Y51" t="s">
        <v>313</v>
      </c>
      <c r="Z51" t="s">
        <v>313</v>
      </c>
      <c r="AA51" t="s">
        <v>313</v>
      </c>
      <c r="AB51" t="s">
        <v>313</v>
      </c>
      <c r="AC51">
        <v>0</v>
      </c>
    </row>
    <row r="52" spans="4:29" x14ac:dyDescent="0.25">
      <c r="D52" t="s">
        <v>47</v>
      </c>
      <c r="E52" t="s">
        <v>340</v>
      </c>
      <c r="F52" t="s">
        <v>1896</v>
      </c>
      <c r="G52">
        <v>425</v>
      </c>
      <c r="H52" t="s">
        <v>1471</v>
      </c>
      <c r="I52" t="s">
        <v>455</v>
      </c>
      <c r="J52" t="s">
        <v>1897</v>
      </c>
      <c r="K52" t="s">
        <v>1898</v>
      </c>
      <c r="L52" t="s">
        <v>1899</v>
      </c>
      <c r="M52" t="s">
        <v>566</v>
      </c>
      <c r="N52" t="s">
        <v>307</v>
      </c>
      <c r="O52" t="s">
        <v>586</v>
      </c>
      <c r="P52" t="s">
        <v>455</v>
      </c>
      <c r="Q52" t="s">
        <v>309</v>
      </c>
      <c r="R52" t="s">
        <v>455</v>
      </c>
      <c r="S52" t="s">
        <v>455</v>
      </c>
      <c r="T52" t="s">
        <v>699</v>
      </c>
      <c r="U52" t="s">
        <v>700</v>
      </c>
      <c r="V52" t="s">
        <v>701</v>
      </c>
      <c r="W52" t="s">
        <v>313</v>
      </c>
      <c r="X52" t="s">
        <v>313</v>
      </c>
      <c r="Y52" t="s">
        <v>313</v>
      </c>
      <c r="Z52" t="s">
        <v>313</v>
      </c>
      <c r="AA52" t="s">
        <v>309</v>
      </c>
      <c r="AB52" t="s">
        <v>313</v>
      </c>
      <c r="AC52">
        <v>1</v>
      </c>
    </row>
    <row r="53" spans="4:29" x14ac:dyDescent="0.25">
      <c r="D53" t="s">
        <v>48</v>
      </c>
      <c r="E53" t="s">
        <v>340</v>
      </c>
      <c r="F53" t="s">
        <v>1900</v>
      </c>
      <c r="G53">
        <v>101</v>
      </c>
      <c r="H53" t="s">
        <v>351</v>
      </c>
      <c r="I53" t="s">
        <v>313</v>
      </c>
      <c r="J53" t="s">
        <v>313</v>
      </c>
      <c r="K53" t="s">
        <v>313</v>
      </c>
      <c r="L53" t="s">
        <v>313</v>
      </c>
      <c r="M53" t="s">
        <v>313</v>
      </c>
      <c r="N53" t="s">
        <v>313</v>
      </c>
      <c r="O53" t="s">
        <v>313</v>
      </c>
      <c r="P53" t="s">
        <v>313</v>
      </c>
      <c r="Q53" t="s">
        <v>313</v>
      </c>
      <c r="R53" t="s">
        <v>313</v>
      </c>
      <c r="S53" t="s">
        <v>313</v>
      </c>
      <c r="T53" t="s">
        <v>702</v>
      </c>
      <c r="U53" t="s">
        <v>703</v>
      </c>
      <c r="V53" t="s">
        <v>876</v>
      </c>
      <c r="W53" t="s">
        <v>313</v>
      </c>
      <c r="X53" t="s">
        <v>313</v>
      </c>
      <c r="Y53" t="s">
        <v>313</v>
      </c>
      <c r="Z53" t="s">
        <v>313</v>
      </c>
      <c r="AA53" t="s">
        <v>704</v>
      </c>
      <c r="AB53" t="s">
        <v>313</v>
      </c>
      <c r="AC53">
        <v>1</v>
      </c>
    </row>
    <row r="54" spans="4:29" x14ac:dyDescent="0.25">
      <c r="D54" t="s">
        <v>49</v>
      </c>
      <c r="E54" t="s">
        <v>340</v>
      </c>
      <c r="F54" t="s">
        <v>1901</v>
      </c>
      <c r="G54">
        <v>260</v>
      </c>
      <c r="H54" t="s">
        <v>705</v>
      </c>
      <c r="I54" t="s">
        <v>706</v>
      </c>
      <c r="J54" t="s">
        <v>707</v>
      </c>
      <c r="K54" t="s">
        <v>708</v>
      </c>
      <c r="L54" t="s">
        <v>709</v>
      </c>
      <c r="M54" t="s">
        <v>710</v>
      </c>
      <c r="N54" t="s">
        <v>711</v>
      </c>
      <c r="O54" t="s">
        <v>712</v>
      </c>
      <c r="P54" t="s">
        <v>709</v>
      </c>
      <c r="Q54" t="s">
        <v>713</v>
      </c>
      <c r="R54" t="s">
        <v>714</v>
      </c>
      <c r="S54" t="s">
        <v>715</v>
      </c>
      <c r="T54" t="s">
        <v>716</v>
      </c>
      <c r="U54" t="s">
        <v>717</v>
      </c>
      <c r="V54" t="s">
        <v>1902</v>
      </c>
      <c r="W54" t="s">
        <v>313</v>
      </c>
      <c r="X54" t="s">
        <v>313</v>
      </c>
      <c r="Y54" t="s">
        <v>313</v>
      </c>
      <c r="Z54" t="s">
        <v>313</v>
      </c>
      <c r="AA54" t="s">
        <v>718</v>
      </c>
      <c r="AB54" t="s">
        <v>313</v>
      </c>
      <c r="AC54">
        <v>1</v>
      </c>
    </row>
    <row r="55" spans="4:29" x14ac:dyDescent="0.25">
      <c r="D55" t="s">
        <v>50</v>
      </c>
      <c r="E55" t="s">
        <v>369</v>
      </c>
      <c r="F55" t="s">
        <v>1903</v>
      </c>
      <c r="G55">
        <v>10</v>
      </c>
      <c r="H55" t="s">
        <v>719</v>
      </c>
      <c r="I55" t="s">
        <v>303</v>
      </c>
      <c r="J55" t="s">
        <v>720</v>
      </c>
      <c r="K55" t="s">
        <v>721</v>
      </c>
      <c r="L55" t="s">
        <v>309</v>
      </c>
      <c r="M55" t="s">
        <v>408</v>
      </c>
      <c r="N55" t="s">
        <v>554</v>
      </c>
      <c r="O55" t="s">
        <v>309</v>
      </c>
      <c r="P55" t="s">
        <v>722</v>
      </c>
      <c r="Q55" t="s">
        <v>723</v>
      </c>
      <c r="R55" t="s">
        <v>724</v>
      </c>
      <c r="S55" t="s">
        <v>725</v>
      </c>
      <c r="T55" t="s">
        <v>726</v>
      </c>
      <c r="U55" t="s">
        <v>727</v>
      </c>
      <c r="V55" t="s">
        <v>499</v>
      </c>
      <c r="W55" t="s">
        <v>313</v>
      </c>
      <c r="X55" t="s">
        <v>313</v>
      </c>
      <c r="Y55" t="s">
        <v>313</v>
      </c>
      <c r="Z55" t="s">
        <v>313</v>
      </c>
      <c r="AA55" t="s">
        <v>313</v>
      </c>
      <c r="AB55" t="s">
        <v>313</v>
      </c>
      <c r="AC55">
        <v>0</v>
      </c>
    </row>
    <row r="56" spans="4:29" x14ac:dyDescent="0.25">
      <c r="D56" t="s">
        <v>51</v>
      </c>
      <c r="E56" t="s">
        <v>369</v>
      </c>
      <c r="F56" t="s">
        <v>1904</v>
      </c>
      <c r="G56">
        <v>19286</v>
      </c>
      <c r="H56" t="s">
        <v>341</v>
      </c>
      <c r="I56" t="s">
        <v>454</v>
      </c>
      <c r="J56" t="s">
        <v>638</v>
      </c>
      <c r="K56" t="s">
        <v>728</v>
      </c>
      <c r="L56" t="s">
        <v>729</v>
      </c>
      <c r="M56" t="s">
        <v>400</v>
      </c>
      <c r="N56" t="s">
        <v>345</v>
      </c>
      <c r="O56" t="s">
        <v>445</v>
      </c>
      <c r="P56" t="s">
        <v>729</v>
      </c>
      <c r="Q56" t="s">
        <v>730</v>
      </c>
      <c r="R56" t="s">
        <v>675</v>
      </c>
      <c r="S56" t="s">
        <v>731</v>
      </c>
      <c r="T56" t="s">
        <v>732</v>
      </c>
      <c r="U56" t="s">
        <v>733</v>
      </c>
      <c r="V56" t="s">
        <v>734</v>
      </c>
      <c r="W56" t="s">
        <v>313</v>
      </c>
      <c r="X56" t="s">
        <v>313</v>
      </c>
      <c r="Y56" t="s">
        <v>313</v>
      </c>
      <c r="Z56" t="s">
        <v>313</v>
      </c>
      <c r="AA56" t="s">
        <v>313</v>
      </c>
      <c r="AB56" t="s">
        <v>313</v>
      </c>
      <c r="AC56">
        <v>0</v>
      </c>
    </row>
    <row r="57" spans="4:29" x14ac:dyDescent="0.25">
      <c r="D57" t="s">
        <v>52</v>
      </c>
      <c r="E57" t="s">
        <v>315</v>
      </c>
      <c r="F57" t="s">
        <v>1613</v>
      </c>
      <c r="G57">
        <v>65554</v>
      </c>
      <c r="H57" t="s">
        <v>407</v>
      </c>
      <c r="I57" t="s">
        <v>428</v>
      </c>
      <c r="J57" t="s">
        <v>735</v>
      </c>
      <c r="K57" t="s">
        <v>736</v>
      </c>
      <c r="L57" t="s">
        <v>737</v>
      </c>
      <c r="M57" t="s">
        <v>525</v>
      </c>
      <c r="N57" t="s">
        <v>554</v>
      </c>
      <c r="O57" t="s">
        <v>331</v>
      </c>
      <c r="P57" t="s">
        <v>737</v>
      </c>
      <c r="Q57" t="s">
        <v>738</v>
      </c>
      <c r="R57" t="s">
        <v>413</v>
      </c>
      <c r="S57" t="s">
        <v>739</v>
      </c>
      <c r="T57" t="s">
        <v>740</v>
      </c>
      <c r="U57" t="s">
        <v>741</v>
      </c>
      <c r="V57" t="s">
        <v>327</v>
      </c>
      <c r="W57" t="s">
        <v>313</v>
      </c>
      <c r="X57" t="s">
        <v>313</v>
      </c>
      <c r="Y57" t="s">
        <v>313</v>
      </c>
      <c r="Z57" t="s">
        <v>313</v>
      </c>
      <c r="AA57" t="s">
        <v>313</v>
      </c>
      <c r="AB57" t="s">
        <v>313</v>
      </c>
      <c r="AC57">
        <v>0</v>
      </c>
    </row>
    <row r="58" spans="4:29" x14ac:dyDescent="0.25">
      <c r="D58" t="s">
        <v>53</v>
      </c>
      <c r="E58" t="s">
        <v>315</v>
      </c>
      <c r="F58" t="s">
        <v>1905</v>
      </c>
      <c r="G58">
        <v>61</v>
      </c>
      <c r="H58" t="s">
        <v>742</v>
      </c>
      <c r="I58" t="s">
        <v>400</v>
      </c>
      <c r="J58" t="s">
        <v>632</v>
      </c>
      <c r="K58" t="s">
        <v>743</v>
      </c>
      <c r="L58" t="s">
        <v>744</v>
      </c>
      <c r="M58" t="s">
        <v>635</v>
      </c>
      <c r="N58" t="s">
        <v>636</v>
      </c>
      <c r="O58" t="s">
        <v>580</v>
      </c>
      <c r="P58" t="s">
        <v>400</v>
      </c>
      <c r="Q58" t="s">
        <v>309</v>
      </c>
      <c r="R58" t="s">
        <v>400</v>
      </c>
      <c r="S58" t="s">
        <v>400</v>
      </c>
      <c r="T58" t="s">
        <v>1906</v>
      </c>
      <c r="U58" t="s">
        <v>1907</v>
      </c>
      <c r="V58" t="s">
        <v>477</v>
      </c>
      <c r="W58" t="s">
        <v>313</v>
      </c>
      <c r="X58" t="s">
        <v>313</v>
      </c>
      <c r="Y58" t="s">
        <v>313</v>
      </c>
      <c r="Z58" t="s">
        <v>313</v>
      </c>
      <c r="AA58" t="s">
        <v>313</v>
      </c>
      <c r="AB58" t="s">
        <v>313</v>
      </c>
      <c r="AC58">
        <v>0</v>
      </c>
    </row>
    <row r="59" spans="4:29" x14ac:dyDescent="0.25">
      <c r="D59" t="s">
        <v>54</v>
      </c>
      <c r="E59" t="s">
        <v>340</v>
      </c>
      <c r="F59" t="s">
        <v>1908</v>
      </c>
      <c r="G59">
        <v>287</v>
      </c>
      <c r="H59" t="s">
        <v>370</v>
      </c>
      <c r="I59" t="s">
        <v>746</v>
      </c>
      <c r="J59" t="s">
        <v>342</v>
      </c>
      <c r="K59" t="s">
        <v>380</v>
      </c>
      <c r="L59" t="s">
        <v>747</v>
      </c>
      <c r="M59" t="s">
        <v>748</v>
      </c>
      <c r="N59" t="s">
        <v>673</v>
      </c>
      <c r="O59" t="s">
        <v>749</v>
      </c>
      <c r="P59" t="s">
        <v>380</v>
      </c>
      <c r="Q59" t="s">
        <v>750</v>
      </c>
      <c r="R59" t="s">
        <v>751</v>
      </c>
      <c r="S59" t="s">
        <v>752</v>
      </c>
      <c r="T59" t="s">
        <v>753</v>
      </c>
      <c r="U59" t="s">
        <v>754</v>
      </c>
      <c r="V59" t="s">
        <v>930</v>
      </c>
      <c r="W59" t="s">
        <v>313</v>
      </c>
      <c r="X59" t="s">
        <v>313</v>
      </c>
      <c r="Y59" t="s">
        <v>313</v>
      </c>
      <c r="Z59" t="s">
        <v>313</v>
      </c>
      <c r="AA59" t="s">
        <v>755</v>
      </c>
      <c r="AB59" t="s">
        <v>313</v>
      </c>
      <c r="AC59">
        <v>1</v>
      </c>
    </row>
    <row r="60" spans="4:29" x14ac:dyDescent="0.25">
      <c r="D60" t="s">
        <v>55</v>
      </c>
      <c r="E60" t="s">
        <v>315</v>
      </c>
      <c r="F60" t="s">
        <v>415</v>
      </c>
      <c r="G60">
        <v>35470</v>
      </c>
      <c r="H60" t="s">
        <v>522</v>
      </c>
      <c r="I60" t="s">
        <v>756</v>
      </c>
      <c r="J60" t="s">
        <v>709</v>
      </c>
      <c r="K60" t="s">
        <v>757</v>
      </c>
      <c r="L60" t="s">
        <v>758</v>
      </c>
      <c r="M60" t="s">
        <v>402</v>
      </c>
      <c r="N60" t="s">
        <v>408</v>
      </c>
      <c r="O60" t="s">
        <v>331</v>
      </c>
      <c r="P60" t="s">
        <v>758</v>
      </c>
      <c r="Q60" t="s">
        <v>375</v>
      </c>
      <c r="R60" t="s">
        <v>562</v>
      </c>
      <c r="S60" t="s">
        <v>759</v>
      </c>
      <c r="T60" t="s">
        <v>760</v>
      </c>
      <c r="U60" t="s">
        <v>761</v>
      </c>
      <c r="V60" t="s">
        <v>486</v>
      </c>
      <c r="W60" t="s">
        <v>313</v>
      </c>
      <c r="X60" t="s">
        <v>313</v>
      </c>
      <c r="Y60" t="s">
        <v>313</v>
      </c>
      <c r="Z60" t="s">
        <v>313</v>
      </c>
      <c r="AA60" t="s">
        <v>313</v>
      </c>
      <c r="AB60" t="s">
        <v>313</v>
      </c>
      <c r="AC60">
        <v>0</v>
      </c>
    </row>
    <row r="61" spans="4:29" x14ac:dyDescent="0.25">
      <c r="D61" t="s">
        <v>56</v>
      </c>
      <c r="E61" t="s">
        <v>449</v>
      </c>
      <c r="F61" t="s">
        <v>1909</v>
      </c>
      <c r="G61">
        <v>1255</v>
      </c>
      <c r="H61" t="s">
        <v>762</v>
      </c>
      <c r="I61" t="s">
        <v>527</v>
      </c>
      <c r="J61" t="s">
        <v>763</v>
      </c>
      <c r="K61" t="s">
        <v>764</v>
      </c>
      <c r="L61" t="s">
        <v>765</v>
      </c>
      <c r="M61" t="s">
        <v>766</v>
      </c>
      <c r="N61" t="s">
        <v>707</v>
      </c>
      <c r="O61" t="s">
        <v>408</v>
      </c>
      <c r="P61" t="s">
        <v>527</v>
      </c>
      <c r="Q61" t="s">
        <v>309</v>
      </c>
      <c r="R61" t="s">
        <v>527</v>
      </c>
      <c r="S61" t="s">
        <v>527</v>
      </c>
      <c r="T61" t="s">
        <v>767</v>
      </c>
      <c r="U61" t="s">
        <v>768</v>
      </c>
      <c r="V61" t="s">
        <v>1558</v>
      </c>
      <c r="W61" t="s">
        <v>313</v>
      </c>
      <c r="X61" t="s">
        <v>313</v>
      </c>
      <c r="Y61" t="s">
        <v>313</v>
      </c>
      <c r="Z61" t="s">
        <v>313</v>
      </c>
      <c r="AA61" t="s">
        <v>309</v>
      </c>
      <c r="AB61" t="s">
        <v>313</v>
      </c>
      <c r="AC61">
        <v>1</v>
      </c>
    </row>
    <row r="62" spans="4:29" x14ac:dyDescent="0.25">
      <c r="D62" t="s">
        <v>57</v>
      </c>
      <c r="E62" t="s">
        <v>340</v>
      </c>
      <c r="F62" t="s">
        <v>1910</v>
      </c>
      <c r="G62">
        <v>4017</v>
      </c>
      <c r="H62" t="s">
        <v>769</v>
      </c>
      <c r="I62" t="s">
        <v>527</v>
      </c>
      <c r="J62" t="s">
        <v>770</v>
      </c>
      <c r="K62" t="s">
        <v>771</v>
      </c>
      <c r="L62" t="s">
        <v>309</v>
      </c>
      <c r="M62" t="s">
        <v>772</v>
      </c>
      <c r="N62" t="s">
        <v>342</v>
      </c>
      <c r="O62" t="s">
        <v>309</v>
      </c>
      <c r="P62" t="s">
        <v>527</v>
      </c>
      <c r="Q62" t="s">
        <v>309</v>
      </c>
      <c r="R62" t="s">
        <v>527</v>
      </c>
      <c r="S62" t="s">
        <v>527</v>
      </c>
      <c r="T62" t="s">
        <v>773</v>
      </c>
      <c r="U62" t="s">
        <v>774</v>
      </c>
      <c r="V62" t="s">
        <v>520</v>
      </c>
      <c r="W62" t="s">
        <v>313</v>
      </c>
      <c r="X62" t="s">
        <v>313</v>
      </c>
      <c r="Y62" t="s">
        <v>313</v>
      </c>
      <c r="Z62" t="s">
        <v>313</v>
      </c>
      <c r="AA62" t="s">
        <v>313</v>
      </c>
      <c r="AB62" t="s">
        <v>313</v>
      </c>
      <c r="AC62">
        <v>0</v>
      </c>
    </row>
    <row r="63" spans="4:29" x14ac:dyDescent="0.25">
      <c r="D63" t="s">
        <v>58</v>
      </c>
      <c r="E63" t="s">
        <v>369</v>
      </c>
      <c r="F63" t="s">
        <v>1911</v>
      </c>
      <c r="G63">
        <v>229</v>
      </c>
      <c r="H63" t="s">
        <v>742</v>
      </c>
      <c r="I63" t="s">
        <v>400</v>
      </c>
      <c r="J63" t="s">
        <v>775</v>
      </c>
      <c r="K63" t="s">
        <v>776</v>
      </c>
      <c r="L63" t="s">
        <v>777</v>
      </c>
      <c r="M63" t="s">
        <v>347</v>
      </c>
      <c r="N63" t="s">
        <v>631</v>
      </c>
      <c r="O63" t="s">
        <v>361</v>
      </c>
      <c r="P63" t="s">
        <v>400</v>
      </c>
      <c r="Q63" t="s">
        <v>309</v>
      </c>
      <c r="R63" t="s">
        <v>400</v>
      </c>
      <c r="S63" t="s">
        <v>400</v>
      </c>
      <c r="T63" t="s">
        <v>1912</v>
      </c>
      <c r="U63" t="s">
        <v>1913</v>
      </c>
      <c r="V63" t="s">
        <v>1044</v>
      </c>
      <c r="W63" t="s">
        <v>313</v>
      </c>
      <c r="X63" t="s">
        <v>313</v>
      </c>
      <c r="Y63" t="s">
        <v>313</v>
      </c>
      <c r="Z63" t="s">
        <v>313</v>
      </c>
      <c r="AA63" t="s">
        <v>313</v>
      </c>
      <c r="AB63" t="s">
        <v>313</v>
      </c>
      <c r="AC63">
        <v>0</v>
      </c>
    </row>
    <row r="64" spans="4:29" x14ac:dyDescent="0.25">
      <c r="D64" t="s">
        <v>59</v>
      </c>
      <c r="E64" t="s">
        <v>356</v>
      </c>
      <c r="F64" t="s">
        <v>1914</v>
      </c>
      <c r="G64">
        <v>2</v>
      </c>
      <c r="H64" t="s">
        <v>654</v>
      </c>
      <c r="I64" t="s">
        <v>748</v>
      </c>
      <c r="J64" t="s">
        <v>586</v>
      </c>
      <c r="K64" t="s">
        <v>778</v>
      </c>
      <c r="L64" t="s">
        <v>309</v>
      </c>
      <c r="M64" t="s">
        <v>779</v>
      </c>
      <c r="N64" t="s">
        <v>397</v>
      </c>
      <c r="O64" t="s">
        <v>309</v>
      </c>
      <c r="P64" t="s">
        <v>748</v>
      </c>
      <c r="Q64" t="s">
        <v>309</v>
      </c>
      <c r="R64" t="s">
        <v>748</v>
      </c>
      <c r="S64" t="s">
        <v>748</v>
      </c>
      <c r="T64" t="s">
        <v>780</v>
      </c>
      <c r="U64" t="s">
        <v>781</v>
      </c>
      <c r="V64" t="s">
        <v>782</v>
      </c>
      <c r="W64" t="s">
        <v>313</v>
      </c>
      <c r="X64" t="s">
        <v>313</v>
      </c>
      <c r="Y64" t="s">
        <v>313</v>
      </c>
      <c r="Z64" t="s">
        <v>313</v>
      </c>
      <c r="AA64" t="s">
        <v>783</v>
      </c>
      <c r="AB64" t="s">
        <v>313</v>
      </c>
      <c r="AC64">
        <v>3</v>
      </c>
    </row>
    <row r="65" spans="4:29" x14ac:dyDescent="0.25">
      <c r="D65" t="s">
        <v>60</v>
      </c>
      <c r="F65" t="s">
        <v>1915</v>
      </c>
      <c r="G65">
        <v>15</v>
      </c>
      <c r="H65" t="s">
        <v>784</v>
      </c>
      <c r="I65" t="s">
        <v>413</v>
      </c>
      <c r="J65" t="s">
        <v>309</v>
      </c>
      <c r="K65" t="s">
        <v>309</v>
      </c>
      <c r="L65" t="s">
        <v>309</v>
      </c>
      <c r="M65" t="s">
        <v>309</v>
      </c>
      <c r="N65" t="s">
        <v>309</v>
      </c>
      <c r="O65" t="s">
        <v>309</v>
      </c>
      <c r="P65" t="s">
        <v>413</v>
      </c>
      <c r="Q65" t="s">
        <v>309</v>
      </c>
      <c r="R65" t="s">
        <v>413</v>
      </c>
      <c r="S65" t="s">
        <v>413</v>
      </c>
      <c r="T65" t="s">
        <v>785</v>
      </c>
      <c r="U65" t="s">
        <v>786</v>
      </c>
      <c r="V65" t="s">
        <v>642</v>
      </c>
      <c r="W65" t="s">
        <v>313</v>
      </c>
      <c r="X65" t="s">
        <v>313</v>
      </c>
      <c r="Y65" t="s">
        <v>313</v>
      </c>
      <c r="Z65" t="s">
        <v>313</v>
      </c>
      <c r="AA65" t="s">
        <v>313</v>
      </c>
      <c r="AB65" t="s">
        <v>313</v>
      </c>
      <c r="AC65">
        <v>0</v>
      </c>
    </row>
    <row r="66" spans="4:29" x14ac:dyDescent="0.25">
      <c r="D66" t="s">
        <v>61</v>
      </c>
      <c r="E66" t="s">
        <v>315</v>
      </c>
      <c r="F66" t="s">
        <v>1916</v>
      </c>
      <c r="G66">
        <v>82570</v>
      </c>
      <c r="H66" t="s">
        <v>478</v>
      </c>
      <c r="I66" t="s">
        <v>1258</v>
      </c>
      <c r="J66" t="s">
        <v>1917</v>
      </c>
      <c r="K66" t="s">
        <v>1918</v>
      </c>
      <c r="L66" t="s">
        <v>1919</v>
      </c>
      <c r="M66" t="s">
        <v>686</v>
      </c>
      <c r="N66" t="s">
        <v>510</v>
      </c>
      <c r="O66" t="s">
        <v>392</v>
      </c>
      <c r="P66" t="s">
        <v>1258</v>
      </c>
      <c r="Q66" t="s">
        <v>309</v>
      </c>
      <c r="R66" t="s">
        <v>1258</v>
      </c>
      <c r="S66" t="s">
        <v>1258</v>
      </c>
      <c r="T66" t="s">
        <v>792</v>
      </c>
      <c r="U66" t="s">
        <v>793</v>
      </c>
      <c r="V66" t="s">
        <v>368</v>
      </c>
      <c r="W66" t="s">
        <v>313</v>
      </c>
      <c r="X66" t="s">
        <v>313</v>
      </c>
      <c r="Y66" t="s">
        <v>313</v>
      </c>
      <c r="Z66" t="s">
        <v>313</v>
      </c>
      <c r="AA66" t="s">
        <v>313</v>
      </c>
      <c r="AB66" t="s">
        <v>313</v>
      </c>
      <c r="AC66">
        <v>0</v>
      </c>
    </row>
    <row r="67" spans="4:29" x14ac:dyDescent="0.25">
      <c r="D67" t="s">
        <v>62</v>
      </c>
      <c r="E67" t="s">
        <v>340</v>
      </c>
      <c r="F67" t="s">
        <v>1920</v>
      </c>
      <c r="G67">
        <v>18</v>
      </c>
      <c r="H67" t="s">
        <v>794</v>
      </c>
      <c r="I67" t="s">
        <v>712</v>
      </c>
      <c r="J67" t="s">
        <v>346</v>
      </c>
      <c r="K67" t="s">
        <v>309</v>
      </c>
      <c r="L67" t="s">
        <v>309</v>
      </c>
      <c r="M67" t="s">
        <v>795</v>
      </c>
      <c r="N67" t="s">
        <v>309</v>
      </c>
      <c r="O67" t="s">
        <v>309</v>
      </c>
      <c r="P67" t="s">
        <v>317</v>
      </c>
      <c r="Q67" t="s">
        <v>796</v>
      </c>
      <c r="R67" t="s">
        <v>797</v>
      </c>
      <c r="S67" t="s">
        <v>798</v>
      </c>
      <c r="T67" t="s">
        <v>1809</v>
      </c>
      <c r="U67" t="s">
        <v>1810</v>
      </c>
      <c r="V67" t="s">
        <v>425</v>
      </c>
      <c r="W67" t="s">
        <v>313</v>
      </c>
      <c r="X67" t="s">
        <v>313</v>
      </c>
      <c r="Y67" t="s">
        <v>313</v>
      </c>
      <c r="Z67" t="s">
        <v>313</v>
      </c>
      <c r="AA67" t="s">
        <v>799</v>
      </c>
      <c r="AB67" t="s">
        <v>313</v>
      </c>
      <c r="AC67">
        <v>6</v>
      </c>
    </row>
    <row r="68" spans="4:29" x14ac:dyDescent="0.25">
      <c r="D68" t="s">
        <v>63</v>
      </c>
      <c r="E68" t="s">
        <v>369</v>
      </c>
      <c r="F68" t="s">
        <v>1921</v>
      </c>
      <c r="G68">
        <v>106</v>
      </c>
      <c r="H68" t="s">
        <v>800</v>
      </c>
      <c r="I68" t="s">
        <v>346</v>
      </c>
      <c r="J68" t="s">
        <v>944</v>
      </c>
      <c r="K68" t="s">
        <v>309</v>
      </c>
      <c r="L68" t="s">
        <v>309</v>
      </c>
      <c r="M68" t="s">
        <v>345</v>
      </c>
      <c r="N68" t="s">
        <v>309</v>
      </c>
      <c r="O68" t="s">
        <v>309</v>
      </c>
      <c r="P68" t="s">
        <v>346</v>
      </c>
      <c r="Q68" t="s">
        <v>309</v>
      </c>
      <c r="R68" t="s">
        <v>346</v>
      </c>
      <c r="S68" t="s">
        <v>346</v>
      </c>
      <c r="T68" t="s">
        <v>802</v>
      </c>
      <c r="U68" t="s">
        <v>803</v>
      </c>
      <c r="V68" t="s">
        <v>448</v>
      </c>
      <c r="W68" t="s">
        <v>313</v>
      </c>
      <c r="X68" t="s">
        <v>313</v>
      </c>
      <c r="Y68" t="s">
        <v>313</v>
      </c>
      <c r="Z68" t="s">
        <v>313</v>
      </c>
      <c r="AA68" t="s">
        <v>313</v>
      </c>
      <c r="AB68" t="s">
        <v>313</v>
      </c>
      <c r="AC68">
        <v>0</v>
      </c>
    </row>
    <row r="69" spans="4:29" x14ac:dyDescent="0.25">
      <c r="D69" t="s">
        <v>64</v>
      </c>
      <c r="E69" t="s">
        <v>340</v>
      </c>
      <c r="F69" t="s">
        <v>804</v>
      </c>
      <c r="G69">
        <v>8</v>
      </c>
      <c r="H69" t="s">
        <v>805</v>
      </c>
      <c r="I69" t="s">
        <v>358</v>
      </c>
      <c r="J69" t="s">
        <v>584</v>
      </c>
      <c r="K69" t="s">
        <v>743</v>
      </c>
      <c r="L69" t="s">
        <v>806</v>
      </c>
      <c r="M69" t="s">
        <v>586</v>
      </c>
      <c r="N69" t="s">
        <v>636</v>
      </c>
      <c r="O69" t="s">
        <v>807</v>
      </c>
      <c r="P69" t="s">
        <v>358</v>
      </c>
      <c r="Q69" t="s">
        <v>309</v>
      </c>
      <c r="R69" t="s">
        <v>358</v>
      </c>
      <c r="S69" t="s">
        <v>358</v>
      </c>
      <c r="T69" t="s">
        <v>808</v>
      </c>
      <c r="U69" t="s">
        <v>809</v>
      </c>
      <c r="V69" t="s">
        <v>810</v>
      </c>
      <c r="W69" t="s">
        <v>313</v>
      </c>
      <c r="X69" t="s">
        <v>313</v>
      </c>
      <c r="Y69" t="s">
        <v>313</v>
      </c>
      <c r="Z69" t="s">
        <v>313</v>
      </c>
      <c r="AA69" t="s">
        <v>811</v>
      </c>
      <c r="AB69" t="s">
        <v>313</v>
      </c>
      <c r="AC69">
        <v>1</v>
      </c>
    </row>
    <row r="70" spans="4:29" x14ac:dyDescent="0.25">
      <c r="D70" t="s">
        <v>65</v>
      </c>
      <c r="E70" t="s">
        <v>340</v>
      </c>
      <c r="F70" t="s">
        <v>1922</v>
      </c>
      <c r="G70">
        <v>5768</v>
      </c>
      <c r="H70" t="s">
        <v>370</v>
      </c>
      <c r="I70" t="s">
        <v>812</v>
      </c>
      <c r="J70" t="s">
        <v>388</v>
      </c>
      <c r="K70" t="s">
        <v>813</v>
      </c>
      <c r="L70" t="s">
        <v>814</v>
      </c>
      <c r="M70" t="s">
        <v>706</v>
      </c>
      <c r="N70" t="s">
        <v>746</v>
      </c>
      <c r="O70" t="s">
        <v>513</v>
      </c>
      <c r="P70" t="s">
        <v>814</v>
      </c>
      <c r="Q70" t="s">
        <v>815</v>
      </c>
      <c r="R70" t="s">
        <v>816</v>
      </c>
      <c r="S70" t="s">
        <v>817</v>
      </c>
      <c r="T70" t="s">
        <v>818</v>
      </c>
      <c r="U70" t="s">
        <v>819</v>
      </c>
      <c r="V70" t="s">
        <v>820</v>
      </c>
      <c r="W70" t="s">
        <v>313</v>
      </c>
      <c r="X70" t="s">
        <v>313</v>
      </c>
      <c r="Y70" t="s">
        <v>313</v>
      </c>
      <c r="Z70" t="s">
        <v>313</v>
      </c>
      <c r="AA70" t="s">
        <v>821</v>
      </c>
      <c r="AB70" t="s">
        <v>313</v>
      </c>
      <c r="AC70">
        <v>1</v>
      </c>
    </row>
    <row r="71" spans="4:29" x14ac:dyDescent="0.25">
      <c r="D71" t="s">
        <v>66</v>
      </c>
      <c r="E71" t="s">
        <v>315</v>
      </c>
      <c r="F71" t="s">
        <v>1923</v>
      </c>
      <c r="G71">
        <v>11861</v>
      </c>
      <c r="H71" t="s">
        <v>387</v>
      </c>
      <c r="I71" t="s">
        <v>966</v>
      </c>
      <c r="J71" t="s">
        <v>1288</v>
      </c>
      <c r="K71" t="s">
        <v>1225</v>
      </c>
      <c r="L71" t="s">
        <v>1924</v>
      </c>
      <c r="M71" t="s">
        <v>412</v>
      </c>
      <c r="N71" t="s">
        <v>479</v>
      </c>
      <c r="O71" t="s">
        <v>558</v>
      </c>
      <c r="P71" t="s">
        <v>966</v>
      </c>
      <c r="Q71" t="s">
        <v>309</v>
      </c>
      <c r="R71" t="s">
        <v>966</v>
      </c>
      <c r="S71" t="s">
        <v>966</v>
      </c>
      <c r="T71" t="s">
        <v>826</v>
      </c>
      <c r="U71" t="s">
        <v>827</v>
      </c>
      <c r="V71" t="s">
        <v>532</v>
      </c>
      <c r="W71" t="s">
        <v>313</v>
      </c>
      <c r="X71" t="s">
        <v>313</v>
      </c>
      <c r="Y71" t="s">
        <v>313</v>
      </c>
      <c r="Z71" t="s">
        <v>313</v>
      </c>
      <c r="AA71" t="s">
        <v>313</v>
      </c>
      <c r="AB71" t="s">
        <v>313</v>
      </c>
      <c r="AC71">
        <v>0</v>
      </c>
    </row>
    <row r="72" spans="4:29" x14ac:dyDescent="0.25">
      <c r="D72" t="s">
        <v>67</v>
      </c>
      <c r="E72" t="s">
        <v>315</v>
      </c>
      <c r="F72" t="s">
        <v>988</v>
      </c>
      <c r="G72">
        <v>3</v>
      </c>
      <c r="H72" t="s">
        <v>829</v>
      </c>
      <c r="I72" t="s">
        <v>707</v>
      </c>
      <c r="J72" t="s">
        <v>309</v>
      </c>
      <c r="K72" t="s">
        <v>309</v>
      </c>
      <c r="L72" t="s">
        <v>309</v>
      </c>
      <c r="M72" t="s">
        <v>309</v>
      </c>
      <c r="N72" t="s">
        <v>309</v>
      </c>
      <c r="O72" t="s">
        <v>309</v>
      </c>
      <c r="P72" t="s">
        <v>707</v>
      </c>
      <c r="Q72" t="s">
        <v>309</v>
      </c>
      <c r="R72" t="s">
        <v>707</v>
      </c>
      <c r="S72" t="s">
        <v>707</v>
      </c>
      <c r="T72" t="s">
        <v>830</v>
      </c>
      <c r="U72" t="s">
        <v>831</v>
      </c>
      <c r="V72" t="s">
        <v>448</v>
      </c>
      <c r="W72" t="s">
        <v>313</v>
      </c>
      <c r="X72" t="s">
        <v>313</v>
      </c>
      <c r="Y72" t="s">
        <v>313</v>
      </c>
      <c r="Z72" t="s">
        <v>313</v>
      </c>
      <c r="AA72" t="s">
        <v>313</v>
      </c>
      <c r="AB72" t="s">
        <v>313</v>
      </c>
      <c r="AC72">
        <v>0</v>
      </c>
    </row>
    <row r="73" spans="4:29" x14ac:dyDescent="0.25">
      <c r="D73" t="s">
        <v>68</v>
      </c>
      <c r="E73" t="s">
        <v>369</v>
      </c>
      <c r="F73" t="s">
        <v>832</v>
      </c>
      <c r="G73">
        <v>1</v>
      </c>
      <c r="H73" t="s">
        <v>833</v>
      </c>
      <c r="I73" t="s">
        <v>309</v>
      </c>
      <c r="J73" t="s">
        <v>309</v>
      </c>
      <c r="K73" t="s">
        <v>309</v>
      </c>
      <c r="L73" t="s">
        <v>309</v>
      </c>
      <c r="M73" t="s">
        <v>309</v>
      </c>
      <c r="N73" t="s">
        <v>309</v>
      </c>
      <c r="O73" t="s">
        <v>309</v>
      </c>
      <c r="P73" t="s">
        <v>313</v>
      </c>
      <c r="Q73" t="s">
        <v>309</v>
      </c>
      <c r="R73" t="s">
        <v>309</v>
      </c>
      <c r="S73" t="s">
        <v>309</v>
      </c>
      <c r="T73" t="s">
        <v>834</v>
      </c>
      <c r="U73" t="s">
        <v>835</v>
      </c>
      <c r="V73" t="s">
        <v>672</v>
      </c>
      <c r="W73" t="s">
        <v>313</v>
      </c>
      <c r="X73" t="s">
        <v>313</v>
      </c>
      <c r="Y73" t="s">
        <v>313</v>
      </c>
      <c r="Z73" t="s">
        <v>313</v>
      </c>
      <c r="AA73" t="s">
        <v>313</v>
      </c>
      <c r="AB73" t="s">
        <v>313</v>
      </c>
      <c r="AC73">
        <v>0</v>
      </c>
    </row>
    <row r="74" spans="4:29" x14ac:dyDescent="0.25">
      <c r="D74" t="s">
        <v>69</v>
      </c>
      <c r="E74" t="s">
        <v>356</v>
      </c>
      <c r="F74" t="s">
        <v>1925</v>
      </c>
      <c r="G74">
        <v>333</v>
      </c>
      <c r="H74" t="s">
        <v>836</v>
      </c>
      <c r="I74" t="s">
        <v>565</v>
      </c>
      <c r="J74" t="s">
        <v>837</v>
      </c>
      <c r="K74" t="s">
        <v>838</v>
      </c>
      <c r="L74" t="s">
        <v>839</v>
      </c>
      <c r="M74" t="s">
        <v>772</v>
      </c>
      <c r="N74" t="s">
        <v>566</v>
      </c>
      <c r="O74" t="s">
        <v>647</v>
      </c>
      <c r="P74" t="s">
        <v>565</v>
      </c>
      <c r="Q74" t="s">
        <v>309</v>
      </c>
      <c r="R74" t="s">
        <v>565</v>
      </c>
      <c r="S74" t="s">
        <v>565</v>
      </c>
      <c r="T74" t="s">
        <v>840</v>
      </c>
      <c r="U74" t="s">
        <v>841</v>
      </c>
      <c r="V74" t="s">
        <v>701</v>
      </c>
      <c r="W74" t="s">
        <v>313</v>
      </c>
      <c r="X74" t="s">
        <v>313</v>
      </c>
      <c r="Y74" t="s">
        <v>313</v>
      </c>
      <c r="Z74" t="s">
        <v>313</v>
      </c>
      <c r="AA74" t="s">
        <v>309</v>
      </c>
      <c r="AB74" t="s">
        <v>313</v>
      </c>
      <c r="AC74">
        <v>6</v>
      </c>
    </row>
    <row r="75" spans="4:29" x14ac:dyDescent="0.25">
      <c r="D75" t="s">
        <v>70</v>
      </c>
      <c r="E75" t="s">
        <v>369</v>
      </c>
      <c r="F75" t="s">
        <v>842</v>
      </c>
      <c r="G75">
        <v>1021</v>
      </c>
      <c r="H75" t="s">
        <v>843</v>
      </c>
      <c r="I75" t="s">
        <v>844</v>
      </c>
      <c r="J75" t="s">
        <v>845</v>
      </c>
      <c r="K75" t="s">
        <v>547</v>
      </c>
      <c r="L75" t="s">
        <v>309</v>
      </c>
      <c r="M75" t="s">
        <v>527</v>
      </c>
      <c r="N75" t="s">
        <v>347</v>
      </c>
      <c r="O75" t="s">
        <v>309</v>
      </c>
      <c r="P75" t="s">
        <v>846</v>
      </c>
      <c r="Q75" t="s">
        <v>847</v>
      </c>
      <c r="R75" t="s">
        <v>848</v>
      </c>
      <c r="S75" t="s">
        <v>492</v>
      </c>
      <c r="T75" t="s">
        <v>849</v>
      </c>
      <c r="U75" t="s">
        <v>850</v>
      </c>
      <c r="V75" t="s">
        <v>614</v>
      </c>
      <c r="W75" t="s">
        <v>313</v>
      </c>
      <c r="X75" t="s">
        <v>313</v>
      </c>
      <c r="Y75" t="s">
        <v>313</v>
      </c>
      <c r="Z75" t="s">
        <v>313</v>
      </c>
      <c r="AA75" t="s">
        <v>309</v>
      </c>
      <c r="AB75" t="s">
        <v>313</v>
      </c>
      <c r="AC75">
        <v>2</v>
      </c>
    </row>
    <row r="76" spans="4:29" x14ac:dyDescent="0.25">
      <c r="D76" t="s">
        <v>71</v>
      </c>
      <c r="E76" t="s">
        <v>449</v>
      </c>
      <c r="F76" t="s">
        <v>1926</v>
      </c>
      <c r="G76">
        <v>157</v>
      </c>
      <c r="H76" t="s">
        <v>1927</v>
      </c>
      <c r="I76" t="s">
        <v>432</v>
      </c>
      <c r="J76" t="s">
        <v>1859</v>
      </c>
      <c r="K76" t="s">
        <v>945</v>
      </c>
      <c r="L76" t="s">
        <v>1928</v>
      </c>
      <c r="M76" t="s">
        <v>345</v>
      </c>
      <c r="N76" t="s">
        <v>527</v>
      </c>
      <c r="O76" t="s">
        <v>473</v>
      </c>
      <c r="P76" t="s">
        <v>432</v>
      </c>
      <c r="Q76" t="s">
        <v>309</v>
      </c>
      <c r="R76" t="s">
        <v>432</v>
      </c>
      <c r="S76" t="s">
        <v>432</v>
      </c>
      <c r="T76" t="s">
        <v>852</v>
      </c>
      <c r="U76" t="s">
        <v>853</v>
      </c>
      <c r="V76" t="s">
        <v>590</v>
      </c>
      <c r="W76" t="s">
        <v>313</v>
      </c>
      <c r="X76" t="s">
        <v>313</v>
      </c>
      <c r="Y76" t="s">
        <v>313</v>
      </c>
      <c r="Z76" t="s">
        <v>313</v>
      </c>
      <c r="AA76" t="s">
        <v>309</v>
      </c>
      <c r="AB76" t="s">
        <v>313</v>
      </c>
      <c r="AC76">
        <v>3</v>
      </c>
    </row>
    <row r="77" spans="4:29" x14ac:dyDescent="0.25">
      <c r="D77" t="s">
        <v>72</v>
      </c>
      <c r="E77" t="s">
        <v>340</v>
      </c>
      <c r="F77" t="s">
        <v>1929</v>
      </c>
      <c r="G77">
        <v>232</v>
      </c>
      <c r="H77" t="s">
        <v>854</v>
      </c>
      <c r="I77" t="s">
        <v>495</v>
      </c>
      <c r="J77" t="s">
        <v>855</v>
      </c>
      <c r="K77" t="s">
        <v>856</v>
      </c>
      <c r="L77" t="s">
        <v>857</v>
      </c>
      <c r="M77" t="s">
        <v>647</v>
      </c>
      <c r="N77" t="s">
        <v>346</v>
      </c>
      <c r="O77" t="s">
        <v>454</v>
      </c>
      <c r="P77" t="s">
        <v>858</v>
      </c>
      <c r="Q77" t="s">
        <v>859</v>
      </c>
      <c r="R77" t="s">
        <v>860</v>
      </c>
      <c r="S77" t="s">
        <v>859</v>
      </c>
      <c r="T77" t="s">
        <v>861</v>
      </c>
      <c r="U77" t="s">
        <v>862</v>
      </c>
      <c r="V77" t="s">
        <v>863</v>
      </c>
      <c r="W77" t="s">
        <v>313</v>
      </c>
      <c r="X77" t="s">
        <v>313</v>
      </c>
      <c r="Y77" t="s">
        <v>313</v>
      </c>
      <c r="Z77" t="s">
        <v>313</v>
      </c>
      <c r="AA77" t="s">
        <v>866</v>
      </c>
      <c r="AB77" t="s">
        <v>313</v>
      </c>
      <c r="AC77">
        <v>1</v>
      </c>
    </row>
    <row r="78" spans="4:29" x14ac:dyDescent="0.25">
      <c r="D78" t="s">
        <v>73</v>
      </c>
      <c r="E78" t="s">
        <v>369</v>
      </c>
      <c r="F78" t="s">
        <v>1930</v>
      </c>
      <c r="G78">
        <v>11</v>
      </c>
      <c r="H78" t="s">
        <v>1082</v>
      </c>
      <c r="I78" t="s">
        <v>474</v>
      </c>
      <c r="J78" t="s">
        <v>1763</v>
      </c>
      <c r="K78" t="s">
        <v>1059</v>
      </c>
      <c r="L78" t="s">
        <v>1811</v>
      </c>
      <c r="M78" t="s">
        <v>474</v>
      </c>
      <c r="N78" t="s">
        <v>347</v>
      </c>
      <c r="O78" t="s">
        <v>635</v>
      </c>
      <c r="P78" t="s">
        <v>474</v>
      </c>
      <c r="Q78" t="s">
        <v>309</v>
      </c>
      <c r="R78" t="s">
        <v>474</v>
      </c>
      <c r="S78" t="s">
        <v>474</v>
      </c>
      <c r="T78" t="s">
        <v>867</v>
      </c>
      <c r="U78" t="s">
        <v>868</v>
      </c>
      <c r="V78" t="s">
        <v>327</v>
      </c>
      <c r="W78" t="s">
        <v>313</v>
      </c>
      <c r="X78" t="s">
        <v>313</v>
      </c>
      <c r="Y78" t="s">
        <v>313</v>
      </c>
      <c r="Z78" t="s">
        <v>313</v>
      </c>
      <c r="AA78" t="s">
        <v>309</v>
      </c>
      <c r="AB78" t="s">
        <v>313</v>
      </c>
      <c r="AC78">
        <v>7</v>
      </c>
    </row>
    <row r="79" spans="4:29" x14ac:dyDescent="0.25">
      <c r="D79" t="s">
        <v>74</v>
      </c>
      <c r="E79" t="s">
        <v>449</v>
      </c>
      <c r="F79" t="s">
        <v>1931</v>
      </c>
      <c r="G79">
        <v>6169</v>
      </c>
      <c r="H79" t="s">
        <v>869</v>
      </c>
      <c r="I79" t="s">
        <v>347</v>
      </c>
      <c r="J79" t="s">
        <v>638</v>
      </c>
      <c r="K79" t="s">
        <v>870</v>
      </c>
      <c r="L79" t="s">
        <v>871</v>
      </c>
      <c r="M79" t="s">
        <v>400</v>
      </c>
      <c r="N79" t="s">
        <v>586</v>
      </c>
      <c r="O79" t="s">
        <v>636</v>
      </c>
      <c r="P79" t="s">
        <v>871</v>
      </c>
      <c r="Q79" t="s">
        <v>872</v>
      </c>
      <c r="R79" t="s">
        <v>873</v>
      </c>
      <c r="S79" t="s">
        <v>874</v>
      </c>
      <c r="T79" t="s">
        <v>875</v>
      </c>
      <c r="U79" t="s">
        <v>338</v>
      </c>
      <c r="V79" t="s">
        <v>876</v>
      </c>
      <c r="W79" t="s">
        <v>313</v>
      </c>
      <c r="X79" t="s">
        <v>313</v>
      </c>
      <c r="Y79" t="s">
        <v>313</v>
      </c>
      <c r="Z79" t="s">
        <v>313</v>
      </c>
      <c r="AA79" t="s">
        <v>309</v>
      </c>
      <c r="AB79" t="s">
        <v>313</v>
      </c>
      <c r="AC79">
        <v>1</v>
      </c>
    </row>
    <row r="80" spans="4:29" x14ac:dyDescent="0.25">
      <c r="D80" t="s">
        <v>75</v>
      </c>
      <c r="E80" t="s">
        <v>315</v>
      </c>
      <c r="F80" t="s">
        <v>1932</v>
      </c>
      <c r="G80">
        <v>18671</v>
      </c>
      <c r="H80" t="s">
        <v>843</v>
      </c>
      <c r="I80" t="s">
        <v>707</v>
      </c>
      <c r="J80" t="s">
        <v>1933</v>
      </c>
      <c r="K80" t="s">
        <v>1934</v>
      </c>
      <c r="L80" t="s">
        <v>917</v>
      </c>
      <c r="M80" t="s">
        <v>707</v>
      </c>
      <c r="N80" t="s">
        <v>825</v>
      </c>
      <c r="O80" t="s">
        <v>401</v>
      </c>
      <c r="P80" t="s">
        <v>707</v>
      </c>
      <c r="Q80" t="s">
        <v>309</v>
      </c>
      <c r="R80" t="s">
        <v>707</v>
      </c>
      <c r="S80" t="s">
        <v>707</v>
      </c>
      <c r="T80" t="s">
        <v>877</v>
      </c>
      <c r="U80" t="s">
        <v>878</v>
      </c>
      <c r="V80" t="s">
        <v>828</v>
      </c>
      <c r="W80" t="s">
        <v>313</v>
      </c>
      <c r="X80" t="s">
        <v>313</v>
      </c>
      <c r="Y80" t="s">
        <v>313</v>
      </c>
      <c r="Z80" t="s">
        <v>313</v>
      </c>
      <c r="AA80" t="s">
        <v>313</v>
      </c>
      <c r="AB80" t="s">
        <v>313</v>
      </c>
      <c r="AC80">
        <v>0</v>
      </c>
    </row>
    <row r="81" spans="4:29" x14ac:dyDescent="0.25">
      <c r="D81" t="s">
        <v>76</v>
      </c>
      <c r="E81" t="s">
        <v>301</v>
      </c>
      <c r="F81" t="s">
        <v>1935</v>
      </c>
      <c r="G81">
        <v>15026</v>
      </c>
      <c r="H81" t="s">
        <v>762</v>
      </c>
      <c r="I81" t="s">
        <v>606</v>
      </c>
      <c r="J81" t="s">
        <v>577</v>
      </c>
      <c r="K81" t="s">
        <v>880</v>
      </c>
      <c r="L81" t="s">
        <v>698</v>
      </c>
      <c r="M81" t="s">
        <v>358</v>
      </c>
      <c r="N81" t="s">
        <v>807</v>
      </c>
      <c r="O81" t="s">
        <v>749</v>
      </c>
      <c r="P81" t="s">
        <v>606</v>
      </c>
      <c r="Q81" t="s">
        <v>309</v>
      </c>
      <c r="R81" t="s">
        <v>606</v>
      </c>
      <c r="S81" t="s">
        <v>606</v>
      </c>
      <c r="T81" t="s">
        <v>881</v>
      </c>
      <c r="U81" t="s">
        <v>882</v>
      </c>
      <c r="V81" t="s">
        <v>930</v>
      </c>
      <c r="W81" t="s">
        <v>313</v>
      </c>
      <c r="X81" t="s">
        <v>313</v>
      </c>
      <c r="Y81" t="s">
        <v>313</v>
      </c>
      <c r="Z81" t="s">
        <v>313</v>
      </c>
      <c r="AA81" t="s">
        <v>883</v>
      </c>
      <c r="AB81" t="s">
        <v>313</v>
      </c>
      <c r="AC81">
        <v>2</v>
      </c>
    </row>
    <row r="82" spans="4:29" x14ac:dyDescent="0.25">
      <c r="D82" t="s">
        <v>77</v>
      </c>
      <c r="E82" t="s">
        <v>369</v>
      </c>
      <c r="F82" t="s">
        <v>1936</v>
      </c>
      <c r="G82">
        <v>768</v>
      </c>
      <c r="H82" t="s">
        <v>884</v>
      </c>
      <c r="I82" t="s">
        <v>635</v>
      </c>
      <c r="J82" t="s">
        <v>885</v>
      </c>
      <c r="K82" t="s">
        <v>886</v>
      </c>
      <c r="L82" t="s">
        <v>887</v>
      </c>
      <c r="M82" t="s">
        <v>474</v>
      </c>
      <c r="N82" t="s">
        <v>347</v>
      </c>
      <c r="O82" t="s">
        <v>635</v>
      </c>
      <c r="P82" t="s">
        <v>887</v>
      </c>
      <c r="Q82" t="s">
        <v>888</v>
      </c>
      <c r="R82" t="s">
        <v>510</v>
      </c>
      <c r="S82" t="s">
        <v>889</v>
      </c>
      <c r="T82" t="s">
        <v>890</v>
      </c>
      <c r="U82" t="s">
        <v>891</v>
      </c>
      <c r="V82" t="s">
        <v>416</v>
      </c>
      <c r="W82" t="s">
        <v>313</v>
      </c>
      <c r="X82" t="s">
        <v>313</v>
      </c>
      <c r="Y82" t="s">
        <v>313</v>
      </c>
      <c r="Z82" t="s">
        <v>313</v>
      </c>
      <c r="AA82" t="s">
        <v>892</v>
      </c>
      <c r="AB82" t="s">
        <v>313</v>
      </c>
      <c r="AC82">
        <v>1</v>
      </c>
    </row>
    <row r="83" spans="4:29" x14ac:dyDescent="0.25">
      <c r="D83" t="s">
        <v>78</v>
      </c>
      <c r="E83" t="s">
        <v>356</v>
      </c>
      <c r="F83" t="s">
        <v>1937</v>
      </c>
      <c r="G83">
        <v>321</v>
      </c>
      <c r="H83" t="s">
        <v>316</v>
      </c>
      <c r="I83" t="s">
        <v>566</v>
      </c>
      <c r="J83" t="s">
        <v>893</v>
      </c>
      <c r="K83" t="s">
        <v>894</v>
      </c>
      <c r="L83" t="s">
        <v>895</v>
      </c>
      <c r="M83" t="s">
        <v>342</v>
      </c>
      <c r="N83" t="s">
        <v>473</v>
      </c>
      <c r="O83" t="s">
        <v>631</v>
      </c>
      <c r="P83" t="s">
        <v>566</v>
      </c>
      <c r="Q83" t="s">
        <v>309</v>
      </c>
      <c r="R83" t="s">
        <v>566</v>
      </c>
      <c r="S83" t="s">
        <v>566</v>
      </c>
      <c r="T83" t="s">
        <v>896</v>
      </c>
      <c r="U83" t="s">
        <v>897</v>
      </c>
      <c r="V83" t="s">
        <v>312</v>
      </c>
      <c r="W83" t="s">
        <v>313</v>
      </c>
      <c r="X83" t="s">
        <v>313</v>
      </c>
      <c r="Y83" t="s">
        <v>313</v>
      </c>
      <c r="Z83" t="s">
        <v>313</v>
      </c>
      <c r="AA83" t="s">
        <v>309</v>
      </c>
      <c r="AB83" t="s">
        <v>313</v>
      </c>
      <c r="AC83">
        <v>7</v>
      </c>
    </row>
    <row r="84" spans="4:29" x14ac:dyDescent="0.25">
      <c r="D84" t="s">
        <v>79</v>
      </c>
      <c r="E84" t="s">
        <v>340</v>
      </c>
      <c r="F84" t="s">
        <v>898</v>
      </c>
      <c r="G84">
        <v>200</v>
      </c>
      <c r="H84" t="s">
        <v>899</v>
      </c>
      <c r="I84" t="s">
        <v>309</v>
      </c>
      <c r="J84" t="s">
        <v>309</v>
      </c>
      <c r="K84" t="s">
        <v>309</v>
      </c>
      <c r="L84" t="s">
        <v>309</v>
      </c>
      <c r="M84" t="s">
        <v>309</v>
      </c>
      <c r="N84" t="s">
        <v>309</v>
      </c>
      <c r="O84" t="s">
        <v>309</v>
      </c>
      <c r="P84" t="s">
        <v>313</v>
      </c>
      <c r="Q84" t="s">
        <v>309</v>
      </c>
      <c r="R84" t="s">
        <v>309</v>
      </c>
      <c r="S84" t="s">
        <v>309</v>
      </c>
      <c r="T84" t="s">
        <v>900</v>
      </c>
      <c r="U84" t="s">
        <v>901</v>
      </c>
      <c r="V84" t="s">
        <v>876</v>
      </c>
      <c r="W84" t="s">
        <v>313</v>
      </c>
      <c r="X84" t="s">
        <v>313</v>
      </c>
      <c r="Y84" t="s">
        <v>313</v>
      </c>
      <c r="Z84" t="s">
        <v>313</v>
      </c>
      <c r="AA84" t="s">
        <v>313</v>
      </c>
      <c r="AB84" t="s">
        <v>313</v>
      </c>
      <c r="AC84">
        <v>0</v>
      </c>
    </row>
    <row r="85" spans="4:29" x14ac:dyDescent="0.25">
      <c r="D85" t="s">
        <v>80</v>
      </c>
      <c r="E85" t="s">
        <v>301</v>
      </c>
      <c r="F85" t="s">
        <v>1938</v>
      </c>
      <c r="G85">
        <v>4354</v>
      </c>
      <c r="H85" t="s">
        <v>351</v>
      </c>
      <c r="I85" t="s">
        <v>309</v>
      </c>
      <c r="J85" t="s">
        <v>309</v>
      </c>
      <c r="K85" t="s">
        <v>309</v>
      </c>
      <c r="L85" t="s">
        <v>309</v>
      </c>
      <c r="M85" t="s">
        <v>309</v>
      </c>
      <c r="N85" t="s">
        <v>309</v>
      </c>
      <c r="O85" t="s">
        <v>309</v>
      </c>
      <c r="P85" t="s">
        <v>313</v>
      </c>
      <c r="Q85" t="s">
        <v>309</v>
      </c>
      <c r="R85" t="s">
        <v>309</v>
      </c>
      <c r="S85" t="s">
        <v>309</v>
      </c>
      <c r="T85" t="s">
        <v>902</v>
      </c>
      <c r="U85" t="s">
        <v>903</v>
      </c>
      <c r="V85" t="s">
        <v>863</v>
      </c>
      <c r="W85" t="s">
        <v>313</v>
      </c>
      <c r="X85" t="s">
        <v>313</v>
      </c>
      <c r="Y85" t="s">
        <v>313</v>
      </c>
      <c r="Z85" t="s">
        <v>313</v>
      </c>
      <c r="AA85" t="s">
        <v>904</v>
      </c>
      <c r="AB85" t="s">
        <v>313</v>
      </c>
      <c r="AC85">
        <v>1</v>
      </c>
    </row>
    <row r="86" spans="4:29" x14ac:dyDescent="0.25">
      <c r="D86" t="s">
        <v>81</v>
      </c>
      <c r="E86" t="s">
        <v>315</v>
      </c>
      <c r="F86" t="s">
        <v>1939</v>
      </c>
      <c r="G86">
        <v>7996</v>
      </c>
      <c r="H86" t="s">
        <v>965</v>
      </c>
      <c r="I86" t="s">
        <v>966</v>
      </c>
      <c r="J86" t="s">
        <v>334</v>
      </c>
      <c r="K86" t="s">
        <v>1940</v>
      </c>
      <c r="L86" t="s">
        <v>309</v>
      </c>
      <c r="M86" t="s">
        <v>378</v>
      </c>
      <c r="N86" t="s">
        <v>1631</v>
      </c>
      <c r="O86" t="s">
        <v>309</v>
      </c>
      <c r="P86" t="s">
        <v>966</v>
      </c>
      <c r="Q86" t="s">
        <v>309</v>
      </c>
      <c r="R86" t="s">
        <v>966</v>
      </c>
      <c r="S86" t="s">
        <v>966</v>
      </c>
      <c r="T86" t="s">
        <v>909</v>
      </c>
      <c r="U86" t="s">
        <v>910</v>
      </c>
      <c r="V86" t="s">
        <v>499</v>
      </c>
      <c r="W86" t="s">
        <v>313</v>
      </c>
      <c r="X86" t="s">
        <v>313</v>
      </c>
      <c r="Y86" t="s">
        <v>313</v>
      </c>
      <c r="Z86" t="s">
        <v>313</v>
      </c>
      <c r="AA86" t="s">
        <v>313</v>
      </c>
      <c r="AB86" t="s">
        <v>313</v>
      </c>
      <c r="AC86">
        <v>0</v>
      </c>
    </row>
    <row r="87" spans="4:29" x14ac:dyDescent="0.25">
      <c r="D87" t="s">
        <v>82</v>
      </c>
      <c r="E87" t="s">
        <v>369</v>
      </c>
      <c r="F87" t="s">
        <v>1941</v>
      </c>
      <c r="G87">
        <v>395</v>
      </c>
      <c r="H87" t="s">
        <v>1812</v>
      </c>
      <c r="I87" t="s">
        <v>361</v>
      </c>
      <c r="J87" t="s">
        <v>1813</v>
      </c>
      <c r="K87" t="s">
        <v>511</v>
      </c>
      <c r="L87" t="s">
        <v>1480</v>
      </c>
      <c r="M87" t="s">
        <v>1041</v>
      </c>
      <c r="N87" t="s">
        <v>513</v>
      </c>
      <c r="O87" t="s">
        <v>706</v>
      </c>
      <c r="P87" t="s">
        <v>361</v>
      </c>
      <c r="Q87" t="s">
        <v>309</v>
      </c>
      <c r="R87" t="s">
        <v>361</v>
      </c>
      <c r="S87" t="s">
        <v>361</v>
      </c>
      <c r="T87" t="s">
        <v>914</v>
      </c>
      <c r="U87" t="s">
        <v>915</v>
      </c>
      <c r="V87" t="s">
        <v>916</v>
      </c>
      <c r="W87" t="s">
        <v>313</v>
      </c>
      <c r="X87" t="s">
        <v>313</v>
      </c>
      <c r="Y87" t="s">
        <v>313</v>
      </c>
      <c r="Z87" t="s">
        <v>313</v>
      </c>
      <c r="AA87" t="s">
        <v>917</v>
      </c>
      <c r="AB87" t="s">
        <v>313</v>
      </c>
      <c r="AC87">
        <v>2</v>
      </c>
    </row>
    <row r="88" spans="4:29" x14ac:dyDescent="0.25">
      <c r="D88" t="s">
        <v>83</v>
      </c>
      <c r="E88" t="s">
        <v>301</v>
      </c>
      <c r="F88" t="s">
        <v>1942</v>
      </c>
      <c r="G88">
        <v>7</v>
      </c>
      <c r="H88" t="s">
        <v>918</v>
      </c>
      <c r="I88" t="s">
        <v>635</v>
      </c>
      <c r="J88" t="s">
        <v>919</v>
      </c>
      <c r="K88" t="s">
        <v>569</v>
      </c>
      <c r="L88" t="s">
        <v>920</v>
      </c>
      <c r="M88" t="s">
        <v>807</v>
      </c>
      <c r="N88" t="s">
        <v>571</v>
      </c>
      <c r="O88" t="s">
        <v>749</v>
      </c>
      <c r="P88" t="s">
        <v>920</v>
      </c>
      <c r="Q88" t="s">
        <v>921</v>
      </c>
      <c r="R88" t="s">
        <v>922</v>
      </c>
      <c r="S88" t="s">
        <v>923</v>
      </c>
      <c r="T88" t="s">
        <v>924</v>
      </c>
      <c r="U88" t="s">
        <v>925</v>
      </c>
      <c r="V88" t="s">
        <v>1549</v>
      </c>
      <c r="W88" t="s">
        <v>313</v>
      </c>
      <c r="X88" t="s">
        <v>313</v>
      </c>
      <c r="Y88" t="s">
        <v>313</v>
      </c>
      <c r="Z88" t="s">
        <v>313</v>
      </c>
      <c r="AA88" t="s">
        <v>893</v>
      </c>
      <c r="AB88" t="s">
        <v>313</v>
      </c>
      <c r="AC88">
        <v>1</v>
      </c>
    </row>
    <row r="89" spans="4:29" x14ac:dyDescent="0.25">
      <c r="D89" t="s">
        <v>84</v>
      </c>
      <c r="E89" t="s">
        <v>340</v>
      </c>
      <c r="F89" t="s">
        <v>927</v>
      </c>
      <c r="G89">
        <v>2</v>
      </c>
      <c r="H89" t="s">
        <v>469</v>
      </c>
      <c r="I89" t="s">
        <v>313</v>
      </c>
      <c r="J89" t="s">
        <v>313</v>
      </c>
      <c r="K89" t="s">
        <v>313</v>
      </c>
      <c r="L89" t="s">
        <v>313</v>
      </c>
      <c r="M89" t="s">
        <v>313</v>
      </c>
      <c r="N89" t="s">
        <v>313</v>
      </c>
      <c r="O89" t="s">
        <v>313</v>
      </c>
      <c r="P89" t="s">
        <v>313</v>
      </c>
      <c r="Q89" t="s">
        <v>313</v>
      </c>
      <c r="R89" t="s">
        <v>313</v>
      </c>
      <c r="S89" t="s">
        <v>313</v>
      </c>
      <c r="T89" t="s">
        <v>928</v>
      </c>
      <c r="U89" t="s">
        <v>929</v>
      </c>
      <c r="V89" t="s">
        <v>930</v>
      </c>
      <c r="W89" t="s">
        <v>313</v>
      </c>
      <c r="X89" t="s">
        <v>313</v>
      </c>
      <c r="Y89" t="s">
        <v>313</v>
      </c>
      <c r="Z89" t="s">
        <v>313</v>
      </c>
      <c r="AA89" t="s">
        <v>931</v>
      </c>
      <c r="AB89" t="s">
        <v>313</v>
      </c>
      <c r="AC89">
        <v>1</v>
      </c>
    </row>
    <row r="90" spans="4:29" x14ac:dyDescent="0.25">
      <c r="D90" t="s">
        <v>85</v>
      </c>
      <c r="E90" t="s">
        <v>340</v>
      </c>
      <c r="F90" t="s">
        <v>1814</v>
      </c>
      <c r="G90">
        <v>20</v>
      </c>
      <c r="H90" t="s">
        <v>932</v>
      </c>
      <c r="I90" t="s">
        <v>549</v>
      </c>
      <c r="J90" t="s">
        <v>933</v>
      </c>
      <c r="K90" t="s">
        <v>359</v>
      </c>
      <c r="L90" t="s">
        <v>934</v>
      </c>
      <c r="M90" t="s">
        <v>549</v>
      </c>
      <c r="N90" t="s">
        <v>308</v>
      </c>
      <c r="O90" t="s">
        <v>362</v>
      </c>
      <c r="P90" t="s">
        <v>549</v>
      </c>
      <c r="Q90" t="s">
        <v>309</v>
      </c>
      <c r="R90" t="s">
        <v>549</v>
      </c>
      <c r="S90" t="s">
        <v>549</v>
      </c>
      <c r="T90" t="s">
        <v>935</v>
      </c>
      <c r="U90" t="s">
        <v>936</v>
      </c>
      <c r="V90" t="s">
        <v>930</v>
      </c>
      <c r="W90" t="s">
        <v>313</v>
      </c>
      <c r="X90" t="s">
        <v>313</v>
      </c>
      <c r="Y90" t="s">
        <v>313</v>
      </c>
      <c r="Z90" t="s">
        <v>313</v>
      </c>
      <c r="AA90" t="s">
        <v>938</v>
      </c>
      <c r="AB90" t="s">
        <v>313</v>
      </c>
      <c r="AC90">
        <v>1</v>
      </c>
    </row>
    <row r="91" spans="4:29" x14ac:dyDescent="0.25">
      <c r="D91" t="s">
        <v>86</v>
      </c>
      <c r="E91" t="s">
        <v>301</v>
      </c>
      <c r="F91" t="s">
        <v>1943</v>
      </c>
      <c r="G91">
        <v>432</v>
      </c>
      <c r="H91" t="s">
        <v>939</v>
      </c>
      <c r="I91" t="s">
        <v>331</v>
      </c>
      <c r="J91" t="s">
        <v>332</v>
      </c>
      <c r="K91" t="s">
        <v>940</v>
      </c>
      <c r="L91" t="s">
        <v>941</v>
      </c>
      <c r="M91" t="s">
        <v>473</v>
      </c>
      <c r="N91" t="s">
        <v>807</v>
      </c>
      <c r="O91" t="s">
        <v>513</v>
      </c>
      <c r="P91" t="s">
        <v>331</v>
      </c>
      <c r="Q91" t="s">
        <v>309</v>
      </c>
      <c r="R91" t="s">
        <v>331</v>
      </c>
      <c r="S91" t="s">
        <v>331</v>
      </c>
      <c r="T91" t="s">
        <v>942</v>
      </c>
      <c r="U91" t="s">
        <v>943</v>
      </c>
      <c r="V91" t="s">
        <v>1944</v>
      </c>
      <c r="W91" t="s">
        <v>313</v>
      </c>
      <c r="X91" t="s">
        <v>313</v>
      </c>
      <c r="Y91" t="s">
        <v>313</v>
      </c>
      <c r="Z91" t="s">
        <v>313</v>
      </c>
      <c r="AA91" t="s">
        <v>759</v>
      </c>
      <c r="AB91" t="s">
        <v>313</v>
      </c>
      <c r="AC91">
        <v>1</v>
      </c>
    </row>
    <row r="92" spans="4:29" x14ac:dyDescent="0.25">
      <c r="D92" t="s">
        <v>87</v>
      </c>
      <c r="E92" t="s">
        <v>369</v>
      </c>
      <c r="F92" t="s">
        <v>1945</v>
      </c>
      <c r="G92">
        <v>5462</v>
      </c>
      <c r="H92" t="s">
        <v>328</v>
      </c>
      <c r="I92" t="s">
        <v>455</v>
      </c>
      <c r="J92" t="s">
        <v>944</v>
      </c>
      <c r="K92" t="s">
        <v>945</v>
      </c>
      <c r="L92" t="s">
        <v>946</v>
      </c>
      <c r="M92" t="s">
        <v>345</v>
      </c>
      <c r="N92" t="s">
        <v>527</v>
      </c>
      <c r="O92" t="s">
        <v>342</v>
      </c>
      <c r="P92" t="s">
        <v>946</v>
      </c>
      <c r="Q92" t="s">
        <v>947</v>
      </c>
      <c r="R92" t="s">
        <v>864</v>
      </c>
      <c r="S92" t="s">
        <v>948</v>
      </c>
      <c r="T92" t="s">
        <v>949</v>
      </c>
      <c r="U92" t="s">
        <v>950</v>
      </c>
      <c r="V92" t="s">
        <v>532</v>
      </c>
      <c r="W92" t="s">
        <v>313</v>
      </c>
      <c r="X92" t="s">
        <v>313</v>
      </c>
      <c r="Y92" t="s">
        <v>313</v>
      </c>
      <c r="Z92" t="s">
        <v>313</v>
      </c>
      <c r="AA92" t="s">
        <v>309</v>
      </c>
      <c r="AB92" t="s">
        <v>309</v>
      </c>
      <c r="AC92">
        <v>6</v>
      </c>
    </row>
    <row r="93" spans="4:29" x14ac:dyDescent="0.25">
      <c r="D93" t="s">
        <v>88</v>
      </c>
      <c r="E93" t="s">
        <v>369</v>
      </c>
      <c r="F93" t="s">
        <v>1946</v>
      </c>
      <c r="G93">
        <v>10</v>
      </c>
      <c r="H93" t="s">
        <v>951</v>
      </c>
      <c r="I93" t="s">
        <v>303</v>
      </c>
      <c r="J93" t="s">
        <v>309</v>
      </c>
      <c r="K93" t="s">
        <v>309</v>
      </c>
      <c r="L93" t="s">
        <v>309</v>
      </c>
      <c r="M93" t="s">
        <v>309</v>
      </c>
      <c r="N93" t="s">
        <v>309</v>
      </c>
      <c r="O93" t="s">
        <v>309</v>
      </c>
      <c r="P93" t="s">
        <v>303</v>
      </c>
      <c r="Q93" t="s">
        <v>309</v>
      </c>
      <c r="R93" t="s">
        <v>303</v>
      </c>
      <c r="S93" t="s">
        <v>303</v>
      </c>
      <c r="T93" t="s">
        <v>952</v>
      </c>
      <c r="U93" t="s">
        <v>953</v>
      </c>
      <c r="V93" t="s">
        <v>810</v>
      </c>
      <c r="W93" t="s">
        <v>313</v>
      </c>
      <c r="X93" t="s">
        <v>313</v>
      </c>
      <c r="Y93" t="s">
        <v>313</v>
      </c>
      <c r="Z93" t="s">
        <v>313</v>
      </c>
      <c r="AA93" t="s">
        <v>313</v>
      </c>
      <c r="AB93" t="s">
        <v>313</v>
      </c>
      <c r="AC93">
        <v>0</v>
      </c>
    </row>
    <row r="94" spans="4:29" x14ac:dyDescent="0.25">
      <c r="D94" t="s">
        <v>89</v>
      </c>
      <c r="E94" t="s">
        <v>315</v>
      </c>
      <c r="F94" t="s">
        <v>1947</v>
      </c>
      <c r="G94">
        <v>3131</v>
      </c>
      <c r="H94" t="s">
        <v>654</v>
      </c>
      <c r="I94" t="s">
        <v>303</v>
      </c>
      <c r="J94" t="s">
        <v>955</v>
      </c>
      <c r="K94" t="s">
        <v>956</v>
      </c>
      <c r="L94" t="s">
        <v>957</v>
      </c>
      <c r="M94" t="s">
        <v>825</v>
      </c>
      <c r="N94" t="s">
        <v>958</v>
      </c>
      <c r="O94" t="s">
        <v>445</v>
      </c>
      <c r="P94" t="s">
        <v>957</v>
      </c>
      <c r="Q94" t="s">
        <v>959</v>
      </c>
      <c r="R94" t="s">
        <v>960</v>
      </c>
      <c r="S94" t="s">
        <v>961</v>
      </c>
      <c r="T94" t="s">
        <v>962</v>
      </c>
      <c r="U94" t="s">
        <v>963</v>
      </c>
      <c r="V94" t="s">
        <v>545</v>
      </c>
      <c r="W94" t="s">
        <v>313</v>
      </c>
      <c r="X94" t="s">
        <v>313</v>
      </c>
      <c r="Y94" t="s">
        <v>313</v>
      </c>
      <c r="Z94" t="s">
        <v>313</v>
      </c>
      <c r="AA94" t="s">
        <v>313</v>
      </c>
      <c r="AB94" t="s">
        <v>313</v>
      </c>
      <c r="AC94">
        <v>0</v>
      </c>
    </row>
    <row r="95" spans="4:29" x14ac:dyDescent="0.25">
      <c r="D95" t="s">
        <v>90</v>
      </c>
      <c r="E95" t="s">
        <v>315</v>
      </c>
      <c r="F95" t="s">
        <v>1948</v>
      </c>
      <c r="G95">
        <v>4057</v>
      </c>
      <c r="H95" t="s">
        <v>965</v>
      </c>
      <c r="I95" t="s">
        <v>966</v>
      </c>
      <c r="J95" t="s">
        <v>967</v>
      </c>
      <c r="K95" t="s">
        <v>968</v>
      </c>
      <c r="L95" t="s">
        <v>309</v>
      </c>
      <c r="M95" t="s">
        <v>969</v>
      </c>
      <c r="N95" t="s">
        <v>650</v>
      </c>
      <c r="O95" t="s">
        <v>309</v>
      </c>
      <c r="P95" t="s">
        <v>970</v>
      </c>
      <c r="Q95" t="s">
        <v>331</v>
      </c>
      <c r="R95" t="s">
        <v>971</v>
      </c>
      <c r="S95" t="s">
        <v>618</v>
      </c>
      <c r="T95" t="s">
        <v>972</v>
      </c>
      <c r="U95" t="s">
        <v>973</v>
      </c>
      <c r="V95" t="s">
        <v>532</v>
      </c>
      <c r="W95" t="s">
        <v>313</v>
      </c>
      <c r="X95" t="s">
        <v>313</v>
      </c>
      <c r="Y95" t="s">
        <v>313</v>
      </c>
      <c r="Z95" t="s">
        <v>313</v>
      </c>
      <c r="AA95" t="s">
        <v>313</v>
      </c>
      <c r="AB95" t="s">
        <v>313</v>
      </c>
      <c r="AC95">
        <v>0</v>
      </c>
    </row>
    <row r="96" spans="4:29" x14ac:dyDescent="0.25">
      <c r="D96" t="s">
        <v>91</v>
      </c>
      <c r="E96" t="s">
        <v>449</v>
      </c>
      <c r="F96" t="s">
        <v>974</v>
      </c>
      <c r="G96">
        <v>300</v>
      </c>
      <c r="H96" t="s">
        <v>975</v>
      </c>
      <c r="I96" t="s">
        <v>309</v>
      </c>
      <c r="J96" t="s">
        <v>309</v>
      </c>
      <c r="K96" t="s">
        <v>309</v>
      </c>
      <c r="L96" t="s">
        <v>309</v>
      </c>
      <c r="M96" t="s">
        <v>309</v>
      </c>
      <c r="N96" t="s">
        <v>309</v>
      </c>
      <c r="O96" t="s">
        <v>309</v>
      </c>
      <c r="P96" t="s">
        <v>313</v>
      </c>
      <c r="Q96" t="s">
        <v>309</v>
      </c>
      <c r="R96" t="s">
        <v>309</v>
      </c>
      <c r="S96" t="s">
        <v>309</v>
      </c>
      <c r="T96" t="s">
        <v>976</v>
      </c>
      <c r="U96" t="s">
        <v>977</v>
      </c>
      <c r="V96" t="s">
        <v>458</v>
      </c>
      <c r="W96" t="s">
        <v>313</v>
      </c>
      <c r="X96" t="s">
        <v>313</v>
      </c>
      <c r="Y96" t="s">
        <v>313</v>
      </c>
      <c r="Z96" t="s">
        <v>313</v>
      </c>
      <c r="AA96" t="s">
        <v>313</v>
      </c>
      <c r="AB96" t="s">
        <v>313</v>
      </c>
      <c r="AC96">
        <v>0</v>
      </c>
    </row>
    <row r="97" spans="4:29" x14ac:dyDescent="0.25">
      <c r="D97" t="s">
        <v>92</v>
      </c>
      <c r="E97" t="s">
        <v>356</v>
      </c>
      <c r="F97" t="s">
        <v>1949</v>
      </c>
      <c r="G97">
        <v>12578</v>
      </c>
      <c r="H97" t="s">
        <v>978</v>
      </c>
      <c r="I97" t="s">
        <v>474</v>
      </c>
      <c r="J97" t="s">
        <v>462</v>
      </c>
      <c r="K97" t="s">
        <v>979</v>
      </c>
      <c r="L97" t="s">
        <v>464</v>
      </c>
      <c r="M97" t="s">
        <v>400</v>
      </c>
      <c r="N97" t="s">
        <v>647</v>
      </c>
      <c r="O97" t="s">
        <v>358</v>
      </c>
      <c r="P97" t="s">
        <v>474</v>
      </c>
      <c r="Q97" t="s">
        <v>309</v>
      </c>
      <c r="R97" t="s">
        <v>474</v>
      </c>
      <c r="S97" t="s">
        <v>474</v>
      </c>
      <c r="T97" t="s">
        <v>980</v>
      </c>
      <c r="U97" t="s">
        <v>981</v>
      </c>
      <c r="V97" t="s">
        <v>964</v>
      </c>
      <c r="W97" t="s">
        <v>313</v>
      </c>
      <c r="X97" t="s">
        <v>313</v>
      </c>
      <c r="Y97" t="s">
        <v>313</v>
      </c>
      <c r="Z97" t="s">
        <v>313</v>
      </c>
      <c r="AA97" t="s">
        <v>309</v>
      </c>
      <c r="AB97" t="s">
        <v>309</v>
      </c>
      <c r="AC97">
        <v>15</v>
      </c>
    </row>
    <row r="98" spans="4:29" x14ac:dyDescent="0.25">
      <c r="D98" t="s">
        <v>93</v>
      </c>
      <c r="E98" t="s">
        <v>301</v>
      </c>
      <c r="F98" t="s">
        <v>1950</v>
      </c>
      <c r="G98">
        <v>66453</v>
      </c>
      <c r="H98" t="s">
        <v>351</v>
      </c>
      <c r="I98" t="s">
        <v>982</v>
      </c>
      <c r="J98" t="s">
        <v>982</v>
      </c>
      <c r="K98" t="s">
        <v>982</v>
      </c>
      <c r="L98" t="s">
        <v>982</v>
      </c>
      <c r="M98" t="s">
        <v>983</v>
      </c>
      <c r="N98" t="s">
        <v>309</v>
      </c>
      <c r="O98" t="s">
        <v>309</v>
      </c>
      <c r="P98" t="s">
        <v>982</v>
      </c>
      <c r="Q98" t="s">
        <v>309</v>
      </c>
      <c r="R98" t="s">
        <v>982</v>
      </c>
      <c r="S98" t="s">
        <v>982</v>
      </c>
      <c r="T98" t="s">
        <v>984</v>
      </c>
      <c r="U98" t="s">
        <v>985</v>
      </c>
      <c r="V98" t="s">
        <v>1951</v>
      </c>
      <c r="W98" t="s">
        <v>313</v>
      </c>
      <c r="X98" t="s">
        <v>313</v>
      </c>
      <c r="Y98" t="s">
        <v>313</v>
      </c>
      <c r="Z98" t="s">
        <v>313</v>
      </c>
      <c r="AA98" t="s">
        <v>986</v>
      </c>
      <c r="AB98" t="s">
        <v>313</v>
      </c>
      <c r="AC98">
        <v>10</v>
      </c>
    </row>
    <row r="99" spans="4:29" x14ac:dyDescent="0.25">
      <c r="D99" t="s">
        <v>94</v>
      </c>
      <c r="F99" t="s">
        <v>1952</v>
      </c>
      <c r="G99">
        <v>2351</v>
      </c>
      <c r="H99" t="s">
        <v>800</v>
      </c>
      <c r="I99" t="s">
        <v>586</v>
      </c>
      <c r="J99" t="s">
        <v>1535</v>
      </c>
      <c r="K99" t="s">
        <v>309</v>
      </c>
      <c r="L99" t="s">
        <v>309</v>
      </c>
      <c r="M99" t="s">
        <v>465</v>
      </c>
      <c r="N99" t="s">
        <v>309</v>
      </c>
      <c r="O99" t="s">
        <v>309</v>
      </c>
      <c r="P99" t="s">
        <v>586</v>
      </c>
      <c r="Q99" t="s">
        <v>309</v>
      </c>
      <c r="R99" t="s">
        <v>586</v>
      </c>
      <c r="S99" t="s">
        <v>586</v>
      </c>
      <c r="T99" t="s">
        <v>987</v>
      </c>
      <c r="U99" t="s">
        <v>988</v>
      </c>
      <c r="V99" t="s">
        <v>416</v>
      </c>
      <c r="W99" t="s">
        <v>313</v>
      </c>
      <c r="X99" t="s">
        <v>313</v>
      </c>
      <c r="Y99" t="s">
        <v>313</v>
      </c>
      <c r="Z99" t="s">
        <v>313</v>
      </c>
      <c r="AA99" t="s">
        <v>313</v>
      </c>
      <c r="AB99" t="s">
        <v>313</v>
      </c>
      <c r="AC99">
        <v>0</v>
      </c>
    </row>
    <row r="100" spans="4:29" x14ac:dyDescent="0.25">
      <c r="D100" t="s">
        <v>95</v>
      </c>
      <c r="E100" t="s">
        <v>340</v>
      </c>
      <c r="F100" t="s">
        <v>1953</v>
      </c>
      <c r="G100">
        <v>8729</v>
      </c>
      <c r="H100" t="s">
        <v>989</v>
      </c>
      <c r="I100" t="s">
        <v>432</v>
      </c>
      <c r="J100" t="s">
        <v>990</v>
      </c>
      <c r="K100" t="s">
        <v>991</v>
      </c>
      <c r="L100" t="s">
        <v>542</v>
      </c>
      <c r="M100" t="s">
        <v>432</v>
      </c>
      <c r="N100" t="s">
        <v>455</v>
      </c>
      <c r="O100" t="s">
        <v>347</v>
      </c>
      <c r="P100" t="s">
        <v>432</v>
      </c>
      <c r="Q100" t="s">
        <v>309</v>
      </c>
      <c r="R100" t="s">
        <v>432</v>
      </c>
      <c r="S100" t="s">
        <v>432</v>
      </c>
      <c r="T100" t="s">
        <v>992</v>
      </c>
      <c r="U100" t="s">
        <v>993</v>
      </c>
      <c r="V100" t="s">
        <v>312</v>
      </c>
      <c r="W100" t="s">
        <v>313</v>
      </c>
      <c r="X100" t="s">
        <v>313</v>
      </c>
      <c r="Y100" t="s">
        <v>313</v>
      </c>
      <c r="Z100" t="s">
        <v>313</v>
      </c>
      <c r="AA100" t="s">
        <v>309</v>
      </c>
      <c r="AB100" t="s">
        <v>309</v>
      </c>
      <c r="AC100">
        <v>1</v>
      </c>
    </row>
    <row r="101" spans="4:29" x14ac:dyDescent="0.25">
      <c r="D101" t="s">
        <v>96</v>
      </c>
      <c r="E101" t="s">
        <v>340</v>
      </c>
      <c r="F101" t="s">
        <v>994</v>
      </c>
      <c r="G101">
        <v>4</v>
      </c>
      <c r="H101" t="s">
        <v>461</v>
      </c>
      <c r="I101" t="s">
        <v>495</v>
      </c>
      <c r="J101" t="s">
        <v>995</v>
      </c>
      <c r="K101" t="s">
        <v>523</v>
      </c>
      <c r="L101" t="s">
        <v>309</v>
      </c>
      <c r="M101" t="s">
        <v>514</v>
      </c>
      <c r="N101" t="s">
        <v>495</v>
      </c>
      <c r="O101" t="s">
        <v>309</v>
      </c>
      <c r="P101" t="s">
        <v>495</v>
      </c>
      <c r="Q101" t="s">
        <v>309</v>
      </c>
      <c r="R101" t="s">
        <v>495</v>
      </c>
      <c r="S101" t="s">
        <v>495</v>
      </c>
      <c r="T101" t="s">
        <v>996</v>
      </c>
      <c r="U101" t="s">
        <v>997</v>
      </c>
      <c r="V101" t="s">
        <v>486</v>
      </c>
      <c r="W101" t="s">
        <v>313</v>
      </c>
      <c r="X101" t="s">
        <v>313</v>
      </c>
      <c r="Y101" t="s">
        <v>313</v>
      </c>
      <c r="Z101" t="s">
        <v>313</v>
      </c>
      <c r="AA101" t="s">
        <v>998</v>
      </c>
      <c r="AB101" t="s">
        <v>313</v>
      </c>
      <c r="AC101">
        <v>1</v>
      </c>
    </row>
    <row r="102" spans="4:29" x14ac:dyDescent="0.25">
      <c r="D102" t="s">
        <v>97</v>
      </c>
      <c r="E102" t="s">
        <v>315</v>
      </c>
      <c r="F102" t="s">
        <v>1815</v>
      </c>
      <c r="G102">
        <v>10843</v>
      </c>
      <c r="H102" t="s">
        <v>999</v>
      </c>
      <c r="I102" t="s">
        <v>1000</v>
      </c>
      <c r="J102" t="s">
        <v>1001</v>
      </c>
      <c r="K102" t="s">
        <v>1002</v>
      </c>
      <c r="L102" t="s">
        <v>1003</v>
      </c>
      <c r="M102" t="s">
        <v>1004</v>
      </c>
      <c r="N102" t="s">
        <v>1005</v>
      </c>
      <c r="O102" t="s">
        <v>317</v>
      </c>
      <c r="P102" t="s">
        <v>1000</v>
      </c>
      <c r="Q102" t="s">
        <v>309</v>
      </c>
      <c r="R102" t="s">
        <v>1000</v>
      </c>
      <c r="S102" t="s">
        <v>1000</v>
      </c>
      <c r="T102" t="s">
        <v>1006</v>
      </c>
      <c r="U102" t="s">
        <v>1007</v>
      </c>
      <c r="V102" t="s">
        <v>1156</v>
      </c>
      <c r="W102" t="s">
        <v>313</v>
      </c>
      <c r="X102" t="s">
        <v>313</v>
      </c>
      <c r="Y102" t="s">
        <v>313</v>
      </c>
      <c r="Z102" t="s">
        <v>313</v>
      </c>
      <c r="AA102" t="s">
        <v>313</v>
      </c>
      <c r="AB102" t="s">
        <v>313</v>
      </c>
      <c r="AC102">
        <v>0</v>
      </c>
    </row>
    <row r="103" spans="4:29" x14ac:dyDescent="0.25">
      <c r="D103" t="s">
        <v>98</v>
      </c>
      <c r="E103" t="s">
        <v>369</v>
      </c>
      <c r="F103" t="s">
        <v>1954</v>
      </c>
      <c r="G103">
        <v>192</v>
      </c>
      <c r="H103" t="s">
        <v>561</v>
      </c>
      <c r="I103" t="s">
        <v>549</v>
      </c>
      <c r="J103" t="s">
        <v>959</v>
      </c>
      <c r="K103" t="s">
        <v>1008</v>
      </c>
      <c r="L103" t="s">
        <v>309</v>
      </c>
      <c r="M103" t="s">
        <v>756</v>
      </c>
      <c r="N103" t="s">
        <v>306</v>
      </c>
      <c r="O103" t="s">
        <v>309</v>
      </c>
      <c r="P103" t="s">
        <v>549</v>
      </c>
      <c r="Q103" t="s">
        <v>309</v>
      </c>
      <c r="R103" t="s">
        <v>549</v>
      </c>
      <c r="S103" t="s">
        <v>549</v>
      </c>
      <c r="T103" t="s">
        <v>1009</v>
      </c>
      <c r="U103" t="s">
        <v>1010</v>
      </c>
      <c r="V103" t="s">
        <v>745</v>
      </c>
      <c r="W103" t="s">
        <v>313</v>
      </c>
      <c r="X103" t="s">
        <v>313</v>
      </c>
      <c r="Y103" t="s">
        <v>313</v>
      </c>
      <c r="Z103" t="s">
        <v>313</v>
      </c>
      <c r="AA103" t="s">
        <v>313</v>
      </c>
      <c r="AB103" t="s">
        <v>313</v>
      </c>
      <c r="AC103">
        <v>3</v>
      </c>
    </row>
    <row r="104" spans="4:29" x14ac:dyDescent="0.25">
      <c r="D104" t="s">
        <v>99</v>
      </c>
      <c r="E104" t="s">
        <v>449</v>
      </c>
      <c r="F104" t="s">
        <v>1011</v>
      </c>
      <c r="G104">
        <v>101</v>
      </c>
      <c r="H104" t="s">
        <v>911</v>
      </c>
      <c r="I104" t="s">
        <v>445</v>
      </c>
      <c r="J104" t="s">
        <v>790</v>
      </c>
      <c r="K104" t="s">
        <v>1012</v>
      </c>
      <c r="L104" t="s">
        <v>309</v>
      </c>
      <c r="M104" t="s">
        <v>432</v>
      </c>
      <c r="N104" t="s">
        <v>307</v>
      </c>
      <c r="O104" t="s">
        <v>309</v>
      </c>
      <c r="P104" t="s">
        <v>445</v>
      </c>
      <c r="Q104" t="s">
        <v>309</v>
      </c>
      <c r="R104" t="s">
        <v>445</v>
      </c>
      <c r="S104" t="s">
        <v>445</v>
      </c>
      <c r="T104" t="s">
        <v>1013</v>
      </c>
      <c r="U104" t="s">
        <v>1014</v>
      </c>
      <c r="V104" t="s">
        <v>879</v>
      </c>
      <c r="W104" t="s">
        <v>313</v>
      </c>
      <c r="X104" t="s">
        <v>313</v>
      </c>
      <c r="Y104" t="s">
        <v>313</v>
      </c>
      <c r="Z104" t="s">
        <v>313</v>
      </c>
      <c r="AA104" t="s">
        <v>313</v>
      </c>
      <c r="AB104" t="s">
        <v>313</v>
      </c>
      <c r="AC104">
        <v>0</v>
      </c>
    </row>
    <row r="105" spans="4:29" x14ac:dyDescent="0.25">
      <c r="D105" t="s">
        <v>100</v>
      </c>
      <c r="E105" t="s">
        <v>1015</v>
      </c>
      <c r="F105" t="s">
        <v>1955</v>
      </c>
      <c r="G105">
        <v>37</v>
      </c>
      <c r="H105" t="s">
        <v>1016</v>
      </c>
      <c r="I105" t="s">
        <v>346</v>
      </c>
      <c r="J105" t="s">
        <v>971</v>
      </c>
      <c r="K105" t="s">
        <v>838</v>
      </c>
      <c r="L105" t="s">
        <v>1017</v>
      </c>
      <c r="M105" t="s">
        <v>527</v>
      </c>
      <c r="N105" t="s">
        <v>566</v>
      </c>
      <c r="O105" t="s">
        <v>400</v>
      </c>
      <c r="P105" t="s">
        <v>1017</v>
      </c>
      <c r="Q105" t="s">
        <v>309</v>
      </c>
      <c r="R105" t="s">
        <v>346</v>
      </c>
      <c r="S105" t="s">
        <v>1018</v>
      </c>
      <c r="T105" t="s">
        <v>1019</v>
      </c>
      <c r="U105" t="s">
        <v>1020</v>
      </c>
      <c r="V105" t="s">
        <v>1021</v>
      </c>
      <c r="W105" t="s">
        <v>313</v>
      </c>
      <c r="X105" t="s">
        <v>313</v>
      </c>
      <c r="Y105" t="s">
        <v>313</v>
      </c>
      <c r="Z105" t="s">
        <v>313</v>
      </c>
      <c r="AA105" t="s">
        <v>309</v>
      </c>
      <c r="AB105" t="s">
        <v>313</v>
      </c>
      <c r="AC105">
        <v>1</v>
      </c>
    </row>
    <row r="106" spans="4:29" x14ac:dyDescent="0.25">
      <c r="D106" t="s">
        <v>100</v>
      </c>
      <c r="E106" t="s">
        <v>1015</v>
      </c>
      <c r="F106" t="s">
        <v>1955</v>
      </c>
      <c r="G106">
        <v>37</v>
      </c>
      <c r="H106" t="s">
        <v>1022</v>
      </c>
      <c r="I106" t="s">
        <v>347</v>
      </c>
      <c r="J106" t="s">
        <v>1023</v>
      </c>
      <c r="K106" t="s">
        <v>304</v>
      </c>
      <c r="L106" t="s">
        <v>1024</v>
      </c>
      <c r="M106" t="s">
        <v>342</v>
      </c>
      <c r="N106" t="s">
        <v>307</v>
      </c>
      <c r="O106" t="s">
        <v>347</v>
      </c>
      <c r="P106" t="s">
        <v>1024</v>
      </c>
      <c r="Q106" t="s">
        <v>1025</v>
      </c>
      <c r="R106" t="s">
        <v>1026</v>
      </c>
      <c r="S106" t="s">
        <v>1027</v>
      </c>
      <c r="T106" t="s">
        <v>1019</v>
      </c>
      <c r="U106" t="s">
        <v>1020</v>
      </c>
      <c r="V106" t="s">
        <v>1021</v>
      </c>
      <c r="W106" t="s">
        <v>313</v>
      </c>
      <c r="X106" t="s">
        <v>313</v>
      </c>
      <c r="Y106" t="s">
        <v>313</v>
      </c>
      <c r="Z106" t="s">
        <v>313</v>
      </c>
      <c r="AA106" t="s">
        <v>309</v>
      </c>
      <c r="AB106" t="s">
        <v>313</v>
      </c>
      <c r="AC106">
        <v>1</v>
      </c>
    </row>
    <row r="107" spans="4:29" x14ac:dyDescent="0.25">
      <c r="D107" t="s">
        <v>101</v>
      </c>
      <c r="E107" t="s">
        <v>449</v>
      </c>
      <c r="F107" t="s">
        <v>1956</v>
      </c>
      <c r="G107">
        <v>127955</v>
      </c>
      <c r="H107" t="s">
        <v>1028</v>
      </c>
      <c r="I107" t="s">
        <v>317</v>
      </c>
      <c r="J107" t="s">
        <v>1029</v>
      </c>
      <c r="K107" t="s">
        <v>1030</v>
      </c>
      <c r="L107" t="s">
        <v>1031</v>
      </c>
      <c r="M107" t="s">
        <v>317</v>
      </c>
      <c r="N107" t="s">
        <v>317</v>
      </c>
      <c r="O107" t="s">
        <v>388</v>
      </c>
      <c r="P107" t="s">
        <v>317</v>
      </c>
      <c r="Q107" t="s">
        <v>309</v>
      </c>
      <c r="R107" t="s">
        <v>317</v>
      </c>
      <c r="S107" t="s">
        <v>317</v>
      </c>
      <c r="T107" t="s">
        <v>1032</v>
      </c>
      <c r="U107" t="s">
        <v>1033</v>
      </c>
      <c r="V107" t="s">
        <v>672</v>
      </c>
      <c r="W107" t="s">
        <v>313</v>
      </c>
      <c r="X107" t="s">
        <v>313</v>
      </c>
      <c r="Y107" t="s">
        <v>313</v>
      </c>
      <c r="Z107" t="s">
        <v>313</v>
      </c>
      <c r="AA107" t="s">
        <v>313</v>
      </c>
      <c r="AB107" t="s">
        <v>313</v>
      </c>
      <c r="AC107">
        <v>0</v>
      </c>
    </row>
    <row r="108" spans="4:29" x14ac:dyDescent="0.25">
      <c r="D108" t="s">
        <v>102</v>
      </c>
      <c r="E108" t="s">
        <v>315</v>
      </c>
      <c r="F108" t="s">
        <v>1957</v>
      </c>
      <c r="G108">
        <v>29298</v>
      </c>
      <c r="H108" t="s">
        <v>561</v>
      </c>
      <c r="I108" t="s">
        <v>473</v>
      </c>
      <c r="J108" t="s">
        <v>1034</v>
      </c>
      <c r="K108" t="s">
        <v>886</v>
      </c>
      <c r="L108" t="s">
        <v>1035</v>
      </c>
      <c r="M108" t="s">
        <v>474</v>
      </c>
      <c r="N108" t="s">
        <v>347</v>
      </c>
      <c r="O108" t="s">
        <v>549</v>
      </c>
      <c r="P108" t="s">
        <v>473</v>
      </c>
      <c r="Q108" t="s">
        <v>309</v>
      </c>
      <c r="R108" t="s">
        <v>473</v>
      </c>
      <c r="S108" t="s">
        <v>473</v>
      </c>
      <c r="T108" t="s">
        <v>1036</v>
      </c>
      <c r="U108" t="s">
        <v>1037</v>
      </c>
      <c r="V108" t="s">
        <v>545</v>
      </c>
      <c r="W108" t="s">
        <v>313</v>
      </c>
      <c r="X108" t="s">
        <v>313</v>
      </c>
      <c r="Y108" t="s">
        <v>313</v>
      </c>
      <c r="Z108" t="s">
        <v>313</v>
      </c>
      <c r="AA108" t="s">
        <v>313</v>
      </c>
      <c r="AB108" t="s">
        <v>313</v>
      </c>
      <c r="AC108">
        <v>0</v>
      </c>
    </row>
    <row r="109" spans="4:29" x14ac:dyDescent="0.25">
      <c r="D109" t="s">
        <v>103</v>
      </c>
      <c r="E109" t="s">
        <v>301</v>
      </c>
      <c r="F109" t="s">
        <v>1958</v>
      </c>
      <c r="G109">
        <v>14692</v>
      </c>
      <c r="H109" t="s">
        <v>784</v>
      </c>
      <c r="I109" t="s">
        <v>635</v>
      </c>
      <c r="J109" t="s">
        <v>1038</v>
      </c>
      <c r="K109" t="s">
        <v>1039</v>
      </c>
      <c r="L109" t="s">
        <v>1040</v>
      </c>
      <c r="M109" t="s">
        <v>888</v>
      </c>
      <c r="N109" t="s">
        <v>1041</v>
      </c>
      <c r="O109" t="s">
        <v>913</v>
      </c>
      <c r="P109" t="s">
        <v>635</v>
      </c>
      <c r="Q109" t="s">
        <v>309</v>
      </c>
      <c r="R109" t="s">
        <v>635</v>
      </c>
      <c r="S109" t="s">
        <v>635</v>
      </c>
      <c r="T109" t="s">
        <v>1042</v>
      </c>
      <c r="U109" t="s">
        <v>1043</v>
      </c>
      <c r="V109" t="s">
        <v>1044</v>
      </c>
      <c r="W109" t="s">
        <v>313</v>
      </c>
      <c r="X109" t="s">
        <v>313</v>
      </c>
      <c r="Y109" t="s">
        <v>313</v>
      </c>
      <c r="Z109" t="s">
        <v>313</v>
      </c>
      <c r="AA109" t="s">
        <v>1045</v>
      </c>
      <c r="AB109" t="s">
        <v>313</v>
      </c>
      <c r="AC109">
        <v>17</v>
      </c>
    </row>
    <row r="110" spans="4:29" x14ac:dyDescent="0.25">
      <c r="D110" t="s">
        <v>104</v>
      </c>
      <c r="E110" t="s">
        <v>315</v>
      </c>
      <c r="F110" t="s">
        <v>1959</v>
      </c>
      <c r="G110">
        <v>21943</v>
      </c>
      <c r="H110" t="s">
        <v>833</v>
      </c>
      <c r="I110" t="s">
        <v>329</v>
      </c>
      <c r="J110" t="s">
        <v>1046</v>
      </c>
      <c r="K110" t="s">
        <v>1047</v>
      </c>
      <c r="L110" t="s">
        <v>1048</v>
      </c>
      <c r="M110" t="s">
        <v>554</v>
      </c>
      <c r="N110" t="s">
        <v>401</v>
      </c>
      <c r="O110" t="s">
        <v>766</v>
      </c>
      <c r="P110" t="s">
        <v>329</v>
      </c>
      <c r="Q110" t="s">
        <v>309</v>
      </c>
      <c r="R110" t="s">
        <v>329</v>
      </c>
      <c r="S110" t="s">
        <v>329</v>
      </c>
      <c r="T110" t="s">
        <v>1049</v>
      </c>
      <c r="U110" t="s">
        <v>1050</v>
      </c>
      <c r="V110" t="s">
        <v>672</v>
      </c>
      <c r="W110" t="s">
        <v>313</v>
      </c>
      <c r="X110" t="s">
        <v>313</v>
      </c>
      <c r="Y110" t="s">
        <v>313</v>
      </c>
      <c r="Z110" t="s">
        <v>313</v>
      </c>
      <c r="AA110" t="s">
        <v>313</v>
      </c>
      <c r="AB110" t="s">
        <v>313</v>
      </c>
      <c r="AC110">
        <v>0</v>
      </c>
    </row>
    <row r="111" spans="4:29" x14ac:dyDescent="0.25">
      <c r="D111" t="s">
        <v>105</v>
      </c>
      <c r="E111" t="s">
        <v>315</v>
      </c>
      <c r="F111" t="s">
        <v>1865</v>
      </c>
      <c r="G111">
        <v>4221</v>
      </c>
      <c r="H111" t="s">
        <v>1051</v>
      </c>
      <c r="I111" t="s">
        <v>473</v>
      </c>
      <c r="J111" t="s">
        <v>696</v>
      </c>
      <c r="K111" t="s">
        <v>1052</v>
      </c>
      <c r="L111" t="s">
        <v>1053</v>
      </c>
      <c r="M111" t="s">
        <v>566</v>
      </c>
      <c r="N111" t="s">
        <v>400</v>
      </c>
      <c r="O111" t="s">
        <v>606</v>
      </c>
      <c r="P111" t="s">
        <v>473</v>
      </c>
      <c r="Q111" t="s">
        <v>309</v>
      </c>
      <c r="R111" t="s">
        <v>473</v>
      </c>
      <c r="S111" t="s">
        <v>473</v>
      </c>
      <c r="T111" t="s">
        <v>1054</v>
      </c>
      <c r="U111" t="s">
        <v>1055</v>
      </c>
      <c r="V111" t="s">
        <v>477</v>
      </c>
      <c r="W111" t="s">
        <v>313</v>
      </c>
      <c r="X111" t="s">
        <v>313</v>
      </c>
      <c r="Y111" t="s">
        <v>313</v>
      </c>
      <c r="Z111" t="s">
        <v>313</v>
      </c>
      <c r="AA111" t="s">
        <v>313</v>
      </c>
      <c r="AB111" t="s">
        <v>313</v>
      </c>
      <c r="AC111">
        <v>0</v>
      </c>
    </row>
    <row r="112" spans="4:29" x14ac:dyDescent="0.25">
      <c r="D112" t="s">
        <v>106</v>
      </c>
      <c r="E112" t="s">
        <v>315</v>
      </c>
      <c r="F112" t="s">
        <v>1960</v>
      </c>
      <c r="G112">
        <v>2</v>
      </c>
      <c r="H112" t="s">
        <v>604</v>
      </c>
      <c r="I112" t="s">
        <v>306</v>
      </c>
      <c r="J112" t="s">
        <v>587</v>
      </c>
      <c r="K112" t="s">
        <v>1056</v>
      </c>
      <c r="L112" t="s">
        <v>309</v>
      </c>
      <c r="M112" t="s">
        <v>331</v>
      </c>
      <c r="N112" t="s">
        <v>440</v>
      </c>
      <c r="O112" t="s">
        <v>309</v>
      </c>
      <c r="P112" t="s">
        <v>306</v>
      </c>
      <c r="Q112" t="s">
        <v>309</v>
      </c>
      <c r="R112" t="s">
        <v>306</v>
      </c>
      <c r="S112" t="s">
        <v>306</v>
      </c>
      <c r="T112" t="s">
        <v>1057</v>
      </c>
      <c r="U112" t="s">
        <v>1058</v>
      </c>
      <c r="V112" t="s">
        <v>507</v>
      </c>
      <c r="W112" t="s">
        <v>313</v>
      </c>
      <c r="X112" t="s">
        <v>313</v>
      </c>
      <c r="Y112" t="s">
        <v>313</v>
      </c>
      <c r="Z112" t="s">
        <v>313</v>
      </c>
      <c r="AA112" t="s">
        <v>313</v>
      </c>
      <c r="AB112" t="s">
        <v>313</v>
      </c>
      <c r="AC112">
        <v>0</v>
      </c>
    </row>
    <row r="113" spans="4:29" x14ac:dyDescent="0.25">
      <c r="D113" t="s">
        <v>107</v>
      </c>
      <c r="E113" t="s">
        <v>356</v>
      </c>
      <c r="F113" t="s">
        <v>1961</v>
      </c>
      <c r="G113">
        <v>32781</v>
      </c>
      <c r="H113" t="s">
        <v>407</v>
      </c>
      <c r="I113" t="s">
        <v>358</v>
      </c>
      <c r="J113" t="s">
        <v>696</v>
      </c>
      <c r="K113" t="s">
        <v>1059</v>
      </c>
      <c r="L113" t="s">
        <v>1060</v>
      </c>
      <c r="M113" t="s">
        <v>566</v>
      </c>
      <c r="N113" t="s">
        <v>347</v>
      </c>
      <c r="O113" t="s">
        <v>635</v>
      </c>
      <c r="P113" t="s">
        <v>358</v>
      </c>
      <c r="Q113" t="s">
        <v>309</v>
      </c>
      <c r="R113" t="s">
        <v>358</v>
      </c>
      <c r="S113" t="s">
        <v>358</v>
      </c>
      <c r="T113" t="s">
        <v>1061</v>
      </c>
      <c r="U113" t="s">
        <v>1062</v>
      </c>
      <c r="V113" t="s">
        <v>1021</v>
      </c>
      <c r="W113" t="s">
        <v>313</v>
      </c>
      <c r="X113" t="s">
        <v>313</v>
      </c>
      <c r="Y113" t="s">
        <v>313</v>
      </c>
      <c r="Z113" t="s">
        <v>313</v>
      </c>
      <c r="AA113" t="s">
        <v>1063</v>
      </c>
      <c r="AB113" t="s">
        <v>1064</v>
      </c>
      <c r="AC113">
        <v>17</v>
      </c>
    </row>
    <row r="114" spans="4:29" x14ac:dyDescent="0.25">
      <c r="D114" t="s">
        <v>108</v>
      </c>
      <c r="E114" t="s">
        <v>340</v>
      </c>
      <c r="F114" t="s">
        <v>1962</v>
      </c>
      <c r="G114">
        <v>868</v>
      </c>
      <c r="H114" t="s">
        <v>788</v>
      </c>
      <c r="I114" t="s">
        <v>571</v>
      </c>
      <c r="J114" t="s">
        <v>1065</v>
      </c>
      <c r="K114" t="s">
        <v>1066</v>
      </c>
      <c r="L114" t="s">
        <v>1067</v>
      </c>
      <c r="M114" t="s">
        <v>495</v>
      </c>
      <c r="N114" t="s">
        <v>495</v>
      </c>
      <c r="O114" t="s">
        <v>362</v>
      </c>
      <c r="P114" t="s">
        <v>571</v>
      </c>
      <c r="Q114" t="s">
        <v>309</v>
      </c>
      <c r="R114" t="s">
        <v>571</v>
      </c>
      <c r="S114" t="s">
        <v>571</v>
      </c>
      <c r="T114" t="s">
        <v>1068</v>
      </c>
      <c r="U114" t="s">
        <v>1069</v>
      </c>
      <c r="V114" t="s">
        <v>629</v>
      </c>
      <c r="W114" t="s">
        <v>313</v>
      </c>
      <c r="X114" t="s">
        <v>313</v>
      </c>
      <c r="Y114" t="s">
        <v>313</v>
      </c>
      <c r="Z114" t="s">
        <v>313</v>
      </c>
      <c r="AA114" t="s">
        <v>1070</v>
      </c>
      <c r="AB114" t="s">
        <v>541</v>
      </c>
      <c r="AC114">
        <v>2</v>
      </c>
    </row>
    <row r="115" spans="4:29" x14ac:dyDescent="0.25">
      <c r="D115" t="s">
        <v>109</v>
      </c>
      <c r="E115" t="s">
        <v>340</v>
      </c>
      <c r="F115" t="s">
        <v>1963</v>
      </c>
      <c r="G115">
        <v>15083</v>
      </c>
      <c r="H115" t="s">
        <v>1071</v>
      </c>
      <c r="I115" t="s">
        <v>571</v>
      </c>
      <c r="J115" t="s">
        <v>1072</v>
      </c>
      <c r="K115" t="s">
        <v>1073</v>
      </c>
      <c r="L115" t="s">
        <v>1074</v>
      </c>
      <c r="M115" t="s">
        <v>303</v>
      </c>
      <c r="N115" t="s">
        <v>342</v>
      </c>
      <c r="O115" t="s">
        <v>631</v>
      </c>
      <c r="P115" t="s">
        <v>571</v>
      </c>
      <c r="Q115" t="s">
        <v>309</v>
      </c>
      <c r="R115" t="s">
        <v>571</v>
      </c>
      <c r="S115" t="s">
        <v>571</v>
      </c>
      <c r="T115" t="s">
        <v>1075</v>
      </c>
      <c r="U115" t="s">
        <v>1076</v>
      </c>
      <c r="V115" t="s">
        <v>425</v>
      </c>
      <c r="W115" t="s">
        <v>313</v>
      </c>
      <c r="X115" t="s">
        <v>313</v>
      </c>
      <c r="Y115" t="s">
        <v>313</v>
      </c>
      <c r="Z115" t="s">
        <v>313</v>
      </c>
      <c r="AA115" t="s">
        <v>1077</v>
      </c>
      <c r="AB115" t="s">
        <v>1078</v>
      </c>
      <c r="AC115">
        <v>21</v>
      </c>
    </row>
    <row r="116" spans="4:29" x14ac:dyDescent="0.25">
      <c r="D116" t="s">
        <v>110</v>
      </c>
      <c r="E116" t="s">
        <v>1079</v>
      </c>
      <c r="F116" t="s">
        <v>313</v>
      </c>
      <c r="G116" t="s">
        <v>313</v>
      </c>
      <c r="H116" t="s">
        <v>351</v>
      </c>
      <c r="I116" t="s">
        <v>309</v>
      </c>
      <c r="J116" t="s">
        <v>309</v>
      </c>
      <c r="K116" t="s">
        <v>309</v>
      </c>
      <c r="L116" t="s">
        <v>309</v>
      </c>
      <c r="M116" t="s">
        <v>309</v>
      </c>
      <c r="N116" t="s">
        <v>309</v>
      </c>
      <c r="O116" t="s">
        <v>309</v>
      </c>
      <c r="P116" t="s">
        <v>313</v>
      </c>
      <c r="Q116" t="s">
        <v>309</v>
      </c>
      <c r="R116" t="s">
        <v>309</v>
      </c>
      <c r="S116" t="s">
        <v>309</v>
      </c>
      <c r="T116" t="s">
        <v>1080</v>
      </c>
      <c r="U116" t="s">
        <v>1081</v>
      </c>
      <c r="V116" t="s">
        <v>313</v>
      </c>
      <c r="W116" t="s">
        <v>313</v>
      </c>
      <c r="X116" t="s">
        <v>313</v>
      </c>
      <c r="Y116" t="s">
        <v>313</v>
      </c>
      <c r="Z116" t="s">
        <v>313</v>
      </c>
      <c r="AA116" t="s">
        <v>313</v>
      </c>
      <c r="AB116" t="s">
        <v>313</v>
      </c>
      <c r="AC116">
        <v>0</v>
      </c>
    </row>
    <row r="117" spans="4:29" x14ac:dyDescent="0.25">
      <c r="D117" t="s">
        <v>111</v>
      </c>
      <c r="E117" t="s">
        <v>369</v>
      </c>
      <c r="F117" t="s">
        <v>1964</v>
      </c>
      <c r="G117">
        <v>21509</v>
      </c>
      <c r="H117" t="s">
        <v>1082</v>
      </c>
      <c r="I117" t="s">
        <v>549</v>
      </c>
      <c r="J117" t="s">
        <v>1083</v>
      </c>
      <c r="K117" t="s">
        <v>1084</v>
      </c>
      <c r="L117" t="s">
        <v>1085</v>
      </c>
      <c r="M117" t="s">
        <v>549</v>
      </c>
      <c r="N117" t="s">
        <v>358</v>
      </c>
      <c r="O117" t="s">
        <v>361</v>
      </c>
      <c r="P117" t="s">
        <v>549</v>
      </c>
      <c r="Q117" t="s">
        <v>309</v>
      </c>
      <c r="R117" t="s">
        <v>549</v>
      </c>
      <c r="S117" t="s">
        <v>549</v>
      </c>
      <c r="T117" t="s">
        <v>1086</v>
      </c>
      <c r="U117" t="s">
        <v>582</v>
      </c>
      <c r="V117" t="s">
        <v>448</v>
      </c>
      <c r="W117" t="s">
        <v>313</v>
      </c>
      <c r="X117" t="s">
        <v>313</v>
      </c>
      <c r="Y117" t="s">
        <v>313</v>
      </c>
      <c r="Z117" t="s">
        <v>313</v>
      </c>
      <c r="AA117" t="s">
        <v>309</v>
      </c>
      <c r="AB117" t="s">
        <v>309</v>
      </c>
      <c r="AC117">
        <v>16</v>
      </c>
    </row>
    <row r="118" spans="4:29" x14ac:dyDescent="0.25">
      <c r="D118" t="s">
        <v>112</v>
      </c>
      <c r="E118" t="s">
        <v>356</v>
      </c>
      <c r="F118" t="s">
        <v>1965</v>
      </c>
      <c r="G118">
        <v>341</v>
      </c>
      <c r="H118" t="s">
        <v>769</v>
      </c>
      <c r="I118" t="s">
        <v>465</v>
      </c>
      <c r="J118" t="s">
        <v>599</v>
      </c>
      <c r="K118" t="s">
        <v>1087</v>
      </c>
      <c r="L118" t="s">
        <v>1088</v>
      </c>
      <c r="M118" t="s">
        <v>606</v>
      </c>
      <c r="N118" t="s">
        <v>888</v>
      </c>
      <c r="O118" t="s">
        <v>807</v>
      </c>
      <c r="P118" t="s">
        <v>465</v>
      </c>
      <c r="Q118" t="s">
        <v>309</v>
      </c>
      <c r="R118" t="s">
        <v>465</v>
      </c>
      <c r="S118" t="s">
        <v>465</v>
      </c>
      <c r="T118" t="s">
        <v>1089</v>
      </c>
      <c r="U118" t="s">
        <v>1090</v>
      </c>
      <c r="V118" t="s">
        <v>312</v>
      </c>
      <c r="W118" t="s">
        <v>313</v>
      </c>
      <c r="X118" t="s">
        <v>313</v>
      </c>
      <c r="Y118" t="s">
        <v>313</v>
      </c>
      <c r="Z118" t="s">
        <v>313</v>
      </c>
      <c r="AA118" t="s">
        <v>791</v>
      </c>
      <c r="AB118" t="s">
        <v>313</v>
      </c>
      <c r="AC118">
        <v>3</v>
      </c>
    </row>
    <row r="119" spans="4:29" x14ac:dyDescent="0.25">
      <c r="D119" t="s">
        <v>113</v>
      </c>
      <c r="E119" t="s">
        <v>369</v>
      </c>
      <c r="F119" t="s">
        <v>1966</v>
      </c>
      <c r="G119">
        <v>469</v>
      </c>
      <c r="H119" t="s">
        <v>762</v>
      </c>
      <c r="I119" t="s">
        <v>491</v>
      </c>
      <c r="J119" t="s">
        <v>643</v>
      </c>
      <c r="K119" t="s">
        <v>743</v>
      </c>
      <c r="L119" t="s">
        <v>1091</v>
      </c>
      <c r="M119" t="s">
        <v>606</v>
      </c>
      <c r="N119" t="s">
        <v>888</v>
      </c>
      <c r="O119" t="s">
        <v>358</v>
      </c>
      <c r="P119" t="s">
        <v>491</v>
      </c>
      <c r="Q119" t="s">
        <v>309</v>
      </c>
      <c r="R119" t="s">
        <v>491</v>
      </c>
      <c r="S119" t="s">
        <v>491</v>
      </c>
      <c r="T119" t="s">
        <v>1092</v>
      </c>
      <c r="U119" t="s">
        <v>1093</v>
      </c>
      <c r="V119" t="s">
        <v>1044</v>
      </c>
      <c r="W119" t="s">
        <v>313</v>
      </c>
      <c r="X119" t="s">
        <v>313</v>
      </c>
      <c r="Y119" t="s">
        <v>313</v>
      </c>
      <c r="Z119" t="s">
        <v>313</v>
      </c>
      <c r="AA119" t="s">
        <v>313</v>
      </c>
      <c r="AB119" t="s">
        <v>313</v>
      </c>
      <c r="AC119">
        <v>2</v>
      </c>
    </row>
    <row r="120" spans="4:29" x14ac:dyDescent="0.25">
      <c r="D120" t="s">
        <v>114</v>
      </c>
      <c r="E120" t="s">
        <v>301</v>
      </c>
      <c r="F120" t="s">
        <v>954</v>
      </c>
      <c r="G120">
        <v>79</v>
      </c>
      <c r="H120" t="s">
        <v>1095</v>
      </c>
      <c r="I120" t="s">
        <v>362</v>
      </c>
      <c r="J120" t="s">
        <v>593</v>
      </c>
      <c r="K120" t="s">
        <v>1096</v>
      </c>
      <c r="L120" t="s">
        <v>648</v>
      </c>
      <c r="M120" t="s">
        <v>495</v>
      </c>
      <c r="N120" t="s">
        <v>513</v>
      </c>
      <c r="O120" t="s">
        <v>710</v>
      </c>
      <c r="P120" t="s">
        <v>362</v>
      </c>
      <c r="Q120" t="s">
        <v>309</v>
      </c>
      <c r="R120" t="s">
        <v>362</v>
      </c>
      <c r="S120" t="s">
        <v>362</v>
      </c>
      <c r="T120" t="s">
        <v>1097</v>
      </c>
      <c r="U120" t="s">
        <v>1098</v>
      </c>
      <c r="V120" t="s">
        <v>312</v>
      </c>
      <c r="W120" t="s">
        <v>313</v>
      </c>
      <c r="X120" t="s">
        <v>313</v>
      </c>
      <c r="Y120" t="s">
        <v>313</v>
      </c>
      <c r="Z120" t="s">
        <v>313</v>
      </c>
      <c r="AA120" t="s">
        <v>674</v>
      </c>
      <c r="AB120" t="s">
        <v>313</v>
      </c>
      <c r="AC120">
        <v>1</v>
      </c>
    </row>
    <row r="121" spans="4:29" x14ac:dyDescent="0.25">
      <c r="D121" t="s">
        <v>115</v>
      </c>
      <c r="E121" t="s">
        <v>369</v>
      </c>
      <c r="F121" t="s">
        <v>478</v>
      </c>
      <c r="G121">
        <v>26673</v>
      </c>
      <c r="H121" t="s">
        <v>1099</v>
      </c>
      <c r="I121" t="s">
        <v>313</v>
      </c>
      <c r="J121" t="s">
        <v>313</v>
      </c>
      <c r="K121" t="s">
        <v>313</v>
      </c>
      <c r="L121" t="s">
        <v>313</v>
      </c>
      <c r="M121" t="s">
        <v>313</v>
      </c>
      <c r="N121" t="s">
        <v>313</v>
      </c>
      <c r="O121" t="s">
        <v>313</v>
      </c>
      <c r="P121" t="s">
        <v>313</v>
      </c>
      <c r="Q121" t="s">
        <v>313</v>
      </c>
      <c r="R121" t="s">
        <v>313</v>
      </c>
      <c r="S121" t="s">
        <v>313</v>
      </c>
      <c r="T121" t="s">
        <v>1100</v>
      </c>
      <c r="U121" t="s">
        <v>1101</v>
      </c>
      <c r="V121" t="s">
        <v>614</v>
      </c>
      <c r="W121" t="s">
        <v>313</v>
      </c>
      <c r="X121" t="s">
        <v>313</v>
      </c>
      <c r="Y121" t="s">
        <v>313</v>
      </c>
      <c r="Z121" t="s">
        <v>313</v>
      </c>
      <c r="AA121" t="s">
        <v>313</v>
      </c>
      <c r="AB121" t="s">
        <v>313</v>
      </c>
      <c r="AC121">
        <v>0</v>
      </c>
    </row>
    <row r="122" spans="4:29" x14ac:dyDescent="0.25">
      <c r="D122" t="s">
        <v>116</v>
      </c>
      <c r="E122" t="s">
        <v>315</v>
      </c>
      <c r="F122" t="s">
        <v>1967</v>
      </c>
      <c r="G122">
        <v>229</v>
      </c>
      <c r="H122" t="s">
        <v>450</v>
      </c>
      <c r="I122" t="s">
        <v>533</v>
      </c>
      <c r="J122" t="s">
        <v>1102</v>
      </c>
      <c r="K122" t="s">
        <v>1103</v>
      </c>
      <c r="L122" t="s">
        <v>1104</v>
      </c>
      <c r="M122" t="s">
        <v>844</v>
      </c>
      <c r="N122" t="s">
        <v>432</v>
      </c>
      <c r="O122" t="s">
        <v>454</v>
      </c>
      <c r="P122" t="s">
        <v>533</v>
      </c>
      <c r="Q122" t="s">
        <v>309</v>
      </c>
      <c r="R122" t="s">
        <v>533</v>
      </c>
      <c r="S122" t="s">
        <v>533</v>
      </c>
      <c r="T122" t="s">
        <v>1105</v>
      </c>
      <c r="U122" t="s">
        <v>1106</v>
      </c>
      <c r="V122" t="s">
        <v>327</v>
      </c>
      <c r="W122" t="s">
        <v>313</v>
      </c>
      <c r="X122" t="s">
        <v>313</v>
      </c>
      <c r="Y122" t="s">
        <v>313</v>
      </c>
      <c r="Z122" t="s">
        <v>313</v>
      </c>
      <c r="AA122" t="s">
        <v>313</v>
      </c>
      <c r="AB122" t="s">
        <v>313</v>
      </c>
      <c r="AC122">
        <v>0</v>
      </c>
    </row>
    <row r="123" spans="4:29" x14ac:dyDescent="0.25">
      <c r="D123" t="s">
        <v>117</v>
      </c>
      <c r="E123" t="s">
        <v>315</v>
      </c>
      <c r="F123" t="s">
        <v>1968</v>
      </c>
      <c r="G123">
        <v>2543</v>
      </c>
      <c r="H123" t="s">
        <v>407</v>
      </c>
      <c r="I123" t="s">
        <v>483</v>
      </c>
      <c r="J123" t="s">
        <v>523</v>
      </c>
      <c r="K123" t="s">
        <v>1067</v>
      </c>
      <c r="L123" t="s">
        <v>1107</v>
      </c>
      <c r="M123" t="s">
        <v>479</v>
      </c>
      <c r="N123" t="s">
        <v>756</v>
      </c>
      <c r="O123" t="s">
        <v>525</v>
      </c>
      <c r="P123" t="s">
        <v>483</v>
      </c>
      <c r="Q123" t="s">
        <v>309</v>
      </c>
      <c r="R123" t="s">
        <v>483</v>
      </c>
      <c r="S123" t="s">
        <v>483</v>
      </c>
      <c r="T123" t="s">
        <v>1108</v>
      </c>
      <c r="U123" t="s">
        <v>994</v>
      </c>
      <c r="V123" t="s">
        <v>532</v>
      </c>
      <c r="W123" t="s">
        <v>313</v>
      </c>
      <c r="X123" t="s">
        <v>313</v>
      </c>
      <c r="Y123" t="s">
        <v>313</v>
      </c>
      <c r="Z123" t="s">
        <v>313</v>
      </c>
      <c r="AA123" t="s">
        <v>313</v>
      </c>
      <c r="AB123" t="s">
        <v>313</v>
      </c>
      <c r="AC123">
        <v>0</v>
      </c>
    </row>
    <row r="124" spans="4:29" x14ac:dyDescent="0.25">
      <c r="D124" t="s">
        <v>118</v>
      </c>
      <c r="E124" t="s">
        <v>356</v>
      </c>
      <c r="F124" t="s">
        <v>1969</v>
      </c>
      <c r="G124">
        <v>2535</v>
      </c>
      <c r="H124" t="s">
        <v>576</v>
      </c>
      <c r="I124" t="s">
        <v>465</v>
      </c>
      <c r="J124" t="s">
        <v>551</v>
      </c>
      <c r="K124" t="s">
        <v>1109</v>
      </c>
      <c r="L124" t="s">
        <v>1110</v>
      </c>
      <c r="M124" t="s">
        <v>631</v>
      </c>
      <c r="N124" t="s">
        <v>549</v>
      </c>
      <c r="O124" t="s">
        <v>308</v>
      </c>
      <c r="P124" t="s">
        <v>465</v>
      </c>
      <c r="Q124" t="s">
        <v>309</v>
      </c>
      <c r="R124" t="s">
        <v>465</v>
      </c>
      <c r="S124" t="s">
        <v>465</v>
      </c>
      <c r="T124" t="s">
        <v>1111</v>
      </c>
      <c r="U124" t="s">
        <v>1112</v>
      </c>
      <c r="V124" t="s">
        <v>477</v>
      </c>
      <c r="W124" t="s">
        <v>313</v>
      </c>
      <c r="X124" t="s">
        <v>313</v>
      </c>
      <c r="Y124" t="s">
        <v>313</v>
      </c>
      <c r="Z124" t="s">
        <v>313</v>
      </c>
      <c r="AA124" t="s">
        <v>329</v>
      </c>
      <c r="AB124" t="s">
        <v>313</v>
      </c>
      <c r="AC124">
        <v>5</v>
      </c>
    </row>
    <row r="125" spans="4:29" x14ac:dyDescent="0.25">
      <c r="D125" t="s">
        <v>119</v>
      </c>
      <c r="E125" t="s">
        <v>301</v>
      </c>
      <c r="F125" t="s">
        <v>1970</v>
      </c>
      <c r="G125">
        <v>18716</v>
      </c>
      <c r="H125" t="s">
        <v>1113</v>
      </c>
      <c r="I125" t="s">
        <v>647</v>
      </c>
      <c r="J125" t="s">
        <v>460</v>
      </c>
      <c r="K125" t="s">
        <v>1114</v>
      </c>
      <c r="L125" t="s">
        <v>757</v>
      </c>
      <c r="M125" t="s">
        <v>465</v>
      </c>
      <c r="N125" t="s">
        <v>606</v>
      </c>
      <c r="O125" t="s">
        <v>596</v>
      </c>
      <c r="P125" t="s">
        <v>647</v>
      </c>
      <c r="Q125" t="s">
        <v>309</v>
      </c>
      <c r="R125" t="s">
        <v>647</v>
      </c>
      <c r="S125" t="s">
        <v>647</v>
      </c>
      <c r="T125" t="s">
        <v>1115</v>
      </c>
      <c r="U125" t="s">
        <v>1116</v>
      </c>
      <c r="V125" t="s">
        <v>425</v>
      </c>
      <c r="W125" t="s">
        <v>313</v>
      </c>
      <c r="X125" t="s">
        <v>313</v>
      </c>
      <c r="Y125" t="s">
        <v>313</v>
      </c>
      <c r="Z125" t="s">
        <v>313</v>
      </c>
      <c r="AA125" t="s">
        <v>648</v>
      </c>
      <c r="AB125" t="s">
        <v>313</v>
      </c>
      <c r="AC125">
        <v>5</v>
      </c>
    </row>
    <row r="126" spans="4:29" x14ac:dyDescent="0.25">
      <c r="D126" t="s">
        <v>120</v>
      </c>
      <c r="E126" t="s">
        <v>369</v>
      </c>
      <c r="F126" t="s">
        <v>1117</v>
      </c>
      <c r="G126">
        <v>10</v>
      </c>
      <c r="H126" t="s">
        <v>1118</v>
      </c>
      <c r="I126" t="s">
        <v>495</v>
      </c>
      <c r="J126" t="s">
        <v>599</v>
      </c>
      <c r="K126" t="s">
        <v>1119</v>
      </c>
      <c r="L126" t="s">
        <v>333</v>
      </c>
      <c r="M126" t="s">
        <v>606</v>
      </c>
      <c r="N126" t="s">
        <v>361</v>
      </c>
      <c r="O126" t="s">
        <v>913</v>
      </c>
      <c r="P126" t="s">
        <v>495</v>
      </c>
      <c r="Q126" t="s">
        <v>309</v>
      </c>
      <c r="R126" t="s">
        <v>495</v>
      </c>
      <c r="S126" t="s">
        <v>495</v>
      </c>
      <c r="T126" t="s">
        <v>1120</v>
      </c>
      <c r="U126" t="s">
        <v>1121</v>
      </c>
      <c r="V126" t="s">
        <v>486</v>
      </c>
      <c r="W126" t="s">
        <v>313</v>
      </c>
      <c r="X126" t="s">
        <v>313</v>
      </c>
      <c r="Y126" t="s">
        <v>313</v>
      </c>
      <c r="Z126" t="s">
        <v>313</v>
      </c>
      <c r="AA126" t="s">
        <v>309</v>
      </c>
      <c r="AB126" t="s">
        <v>313</v>
      </c>
      <c r="AC126">
        <v>29</v>
      </c>
    </row>
    <row r="127" spans="4:29" x14ac:dyDescent="0.25">
      <c r="D127" t="s">
        <v>121</v>
      </c>
      <c r="E127" t="s">
        <v>1122</v>
      </c>
      <c r="F127" t="s">
        <v>1971</v>
      </c>
      <c r="G127">
        <v>1549</v>
      </c>
      <c r="H127" t="s">
        <v>351</v>
      </c>
      <c r="I127" t="s">
        <v>309</v>
      </c>
      <c r="J127" t="s">
        <v>346</v>
      </c>
      <c r="K127" t="s">
        <v>775</v>
      </c>
      <c r="L127" t="s">
        <v>442</v>
      </c>
      <c r="M127" t="s">
        <v>795</v>
      </c>
      <c r="N127" t="s">
        <v>399</v>
      </c>
      <c r="O127" t="s">
        <v>1123</v>
      </c>
      <c r="P127" t="s">
        <v>346</v>
      </c>
      <c r="Q127" t="s">
        <v>1124</v>
      </c>
      <c r="R127" t="s">
        <v>1124</v>
      </c>
      <c r="S127" t="s">
        <v>1125</v>
      </c>
      <c r="T127" t="s">
        <v>1126</v>
      </c>
      <c r="U127" t="s">
        <v>1127</v>
      </c>
      <c r="V127" t="s">
        <v>1558</v>
      </c>
      <c r="W127" t="s">
        <v>313</v>
      </c>
      <c r="X127" t="s">
        <v>313</v>
      </c>
      <c r="Y127" t="s">
        <v>313</v>
      </c>
      <c r="Z127" t="s">
        <v>313</v>
      </c>
      <c r="AA127" t="s">
        <v>1128</v>
      </c>
      <c r="AB127" t="s">
        <v>313</v>
      </c>
      <c r="AC127">
        <v>23</v>
      </c>
    </row>
    <row r="128" spans="4:29" x14ac:dyDescent="0.25">
      <c r="D128" t="s">
        <v>122</v>
      </c>
      <c r="E128" t="s">
        <v>449</v>
      </c>
      <c r="F128" t="s">
        <v>1816</v>
      </c>
      <c r="G128">
        <v>10</v>
      </c>
      <c r="H128" t="s">
        <v>1129</v>
      </c>
      <c r="I128" t="s">
        <v>710</v>
      </c>
      <c r="J128" t="s">
        <v>1130</v>
      </c>
      <c r="K128" t="s">
        <v>1131</v>
      </c>
      <c r="L128" t="s">
        <v>1132</v>
      </c>
      <c r="M128" t="s">
        <v>1123</v>
      </c>
      <c r="N128" t="s">
        <v>1041</v>
      </c>
      <c r="O128" t="s">
        <v>1041</v>
      </c>
      <c r="P128" t="s">
        <v>710</v>
      </c>
      <c r="Q128" t="s">
        <v>309</v>
      </c>
      <c r="R128" t="s">
        <v>710</v>
      </c>
      <c r="S128" t="s">
        <v>710</v>
      </c>
      <c r="T128" t="s">
        <v>1133</v>
      </c>
      <c r="U128" t="s">
        <v>1134</v>
      </c>
      <c r="V128" t="s">
        <v>1044</v>
      </c>
      <c r="W128" t="s">
        <v>313</v>
      </c>
      <c r="X128" t="s">
        <v>313</v>
      </c>
      <c r="Y128" t="s">
        <v>313</v>
      </c>
      <c r="Z128" t="s">
        <v>313</v>
      </c>
      <c r="AA128" t="s">
        <v>313</v>
      </c>
      <c r="AB128" t="s">
        <v>313</v>
      </c>
      <c r="AC128">
        <v>0</v>
      </c>
    </row>
    <row r="129" spans="4:29" x14ac:dyDescent="0.25">
      <c r="D129" t="s">
        <v>123</v>
      </c>
      <c r="E129" t="s">
        <v>315</v>
      </c>
      <c r="F129" t="s">
        <v>1817</v>
      </c>
      <c r="G129">
        <v>5710</v>
      </c>
      <c r="H129" t="s">
        <v>666</v>
      </c>
      <c r="I129" t="s">
        <v>391</v>
      </c>
      <c r="J129" t="s">
        <v>309</v>
      </c>
      <c r="K129" t="s">
        <v>309</v>
      </c>
      <c r="L129" t="s">
        <v>309</v>
      </c>
      <c r="M129" t="s">
        <v>309</v>
      </c>
      <c r="N129" t="s">
        <v>309</v>
      </c>
      <c r="O129" t="s">
        <v>309</v>
      </c>
      <c r="P129" t="s">
        <v>838</v>
      </c>
      <c r="Q129" t="s">
        <v>1135</v>
      </c>
      <c r="R129" t="s">
        <v>511</v>
      </c>
      <c r="S129" t="s">
        <v>1136</v>
      </c>
      <c r="T129" t="s">
        <v>1137</v>
      </c>
      <c r="U129" t="s">
        <v>1138</v>
      </c>
      <c r="V129" t="s">
        <v>532</v>
      </c>
      <c r="W129" t="s">
        <v>313</v>
      </c>
      <c r="X129" t="s">
        <v>313</v>
      </c>
      <c r="Y129" t="s">
        <v>313</v>
      </c>
      <c r="Z129" t="s">
        <v>313</v>
      </c>
      <c r="AA129" t="s">
        <v>313</v>
      </c>
      <c r="AB129" t="s">
        <v>313</v>
      </c>
      <c r="AC129">
        <v>0</v>
      </c>
    </row>
    <row r="130" spans="4:29" x14ac:dyDescent="0.25">
      <c r="D130" t="s">
        <v>124</v>
      </c>
      <c r="E130" t="s">
        <v>315</v>
      </c>
      <c r="F130" t="s">
        <v>1238</v>
      </c>
      <c r="G130">
        <v>342</v>
      </c>
      <c r="H130" t="s">
        <v>583</v>
      </c>
      <c r="I130" t="s">
        <v>772</v>
      </c>
      <c r="J130" t="s">
        <v>1139</v>
      </c>
      <c r="K130" t="s">
        <v>563</v>
      </c>
      <c r="L130" t="s">
        <v>1140</v>
      </c>
      <c r="M130" t="s">
        <v>565</v>
      </c>
      <c r="N130" t="s">
        <v>565</v>
      </c>
      <c r="O130" t="s">
        <v>465</v>
      </c>
      <c r="P130" t="s">
        <v>1140</v>
      </c>
      <c r="Q130" t="s">
        <v>711</v>
      </c>
      <c r="R130" t="s">
        <v>969</v>
      </c>
      <c r="S130" t="s">
        <v>1141</v>
      </c>
      <c r="T130" t="s">
        <v>1142</v>
      </c>
      <c r="U130" t="s">
        <v>1143</v>
      </c>
      <c r="V130" t="s">
        <v>1044</v>
      </c>
      <c r="W130" t="s">
        <v>313</v>
      </c>
      <c r="X130" t="s">
        <v>313</v>
      </c>
      <c r="Y130" t="s">
        <v>313</v>
      </c>
      <c r="Z130" t="s">
        <v>313</v>
      </c>
      <c r="AA130" t="s">
        <v>313</v>
      </c>
      <c r="AB130" t="s">
        <v>313</v>
      </c>
      <c r="AC130">
        <v>0</v>
      </c>
    </row>
    <row r="131" spans="4:29" x14ac:dyDescent="0.25">
      <c r="D131" t="s">
        <v>125</v>
      </c>
      <c r="E131" t="s">
        <v>369</v>
      </c>
      <c r="F131" t="s">
        <v>1972</v>
      </c>
      <c r="G131">
        <v>205</v>
      </c>
      <c r="H131" t="s">
        <v>905</v>
      </c>
      <c r="I131" t="s">
        <v>906</v>
      </c>
      <c r="J131" t="s">
        <v>309</v>
      </c>
      <c r="K131" t="s">
        <v>309</v>
      </c>
      <c r="L131" t="s">
        <v>309</v>
      </c>
      <c r="M131" t="s">
        <v>309</v>
      </c>
      <c r="N131" t="s">
        <v>309</v>
      </c>
      <c r="O131" t="s">
        <v>309</v>
      </c>
      <c r="P131" t="s">
        <v>906</v>
      </c>
      <c r="Q131" t="s">
        <v>309</v>
      </c>
      <c r="R131" t="s">
        <v>906</v>
      </c>
      <c r="S131" t="s">
        <v>906</v>
      </c>
      <c r="T131" t="s">
        <v>1144</v>
      </c>
      <c r="U131" t="s">
        <v>1145</v>
      </c>
      <c r="V131" t="s">
        <v>416</v>
      </c>
      <c r="W131" t="s">
        <v>313</v>
      </c>
      <c r="X131" t="s">
        <v>313</v>
      </c>
      <c r="Y131" t="s">
        <v>313</v>
      </c>
      <c r="Z131" t="s">
        <v>313</v>
      </c>
      <c r="AA131" t="s">
        <v>313</v>
      </c>
      <c r="AB131" t="s">
        <v>313</v>
      </c>
      <c r="AC131">
        <v>0</v>
      </c>
    </row>
    <row r="132" spans="4:29" x14ac:dyDescent="0.25">
      <c r="D132" t="s">
        <v>126</v>
      </c>
      <c r="E132" t="s">
        <v>315</v>
      </c>
      <c r="F132" t="s">
        <v>1973</v>
      </c>
      <c r="G132">
        <v>59306</v>
      </c>
      <c r="H132" t="s">
        <v>1146</v>
      </c>
      <c r="I132" t="s">
        <v>778</v>
      </c>
      <c r="J132" t="s">
        <v>1147</v>
      </c>
      <c r="K132" t="s">
        <v>1148</v>
      </c>
      <c r="L132" t="s">
        <v>1149</v>
      </c>
      <c r="M132" t="s">
        <v>1150</v>
      </c>
      <c r="N132" t="s">
        <v>756</v>
      </c>
      <c r="O132" t="s">
        <v>329</v>
      </c>
      <c r="P132" t="s">
        <v>1149</v>
      </c>
      <c r="Q132" t="s">
        <v>1151</v>
      </c>
      <c r="R132" t="s">
        <v>1152</v>
      </c>
      <c r="S132" t="s">
        <v>1153</v>
      </c>
      <c r="T132" t="s">
        <v>1154</v>
      </c>
      <c r="U132" t="s">
        <v>1155</v>
      </c>
      <c r="V132" t="s">
        <v>1156</v>
      </c>
      <c r="W132" t="s">
        <v>313</v>
      </c>
      <c r="X132" t="s">
        <v>313</v>
      </c>
      <c r="Y132" t="s">
        <v>313</v>
      </c>
      <c r="Z132" t="s">
        <v>313</v>
      </c>
      <c r="AA132" t="s">
        <v>313</v>
      </c>
      <c r="AB132" t="s">
        <v>313</v>
      </c>
      <c r="AC132">
        <v>0</v>
      </c>
    </row>
    <row r="133" spans="4:29" x14ac:dyDescent="0.25">
      <c r="D133" t="s">
        <v>127</v>
      </c>
      <c r="E133" t="s">
        <v>369</v>
      </c>
      <c r="F133" t="s">
        <v>1974</v>
      </c>
      <c r="G133">
        <v>509</v>
      </c>
      <c r="H133" t="s">
        <v>666</v>
      </c>
      <c r="I133" t="s">
        <v>510</v>
      </c>
      <c r="J133" t="s">
        <v>309</v>
      </c>
      <c r="K133" t="s">
        <v>309</v>
      </c>
      <c r="L133" t="s">
        <v>309</v>
      </c>
      <c r="M133" t="s">
        <v>309</v>
      </c>
      <c r="N133" t="s">
        <v>309</v>
      </c>
      <c r="O133" t="s">
        <v>309</v>
      </c>
      <c r="P133" t="s">
        <v>1157</v>
      </c>
      <c r="Q133" t="s">
        <v>710</v>
      </c>
      <c r="R133" t="s">
        <v>1065</v>
      </c>
      <c r="S133" t="s">
        <v>1158</v>
      </c>
      <c r="T133" t="s">
        <v>1159</v>
      </c>
      <c r="U133" t="s">
        <v>1160</v>
      </c>
      <c r="V133" t="s">
        <v>810</v>
      </c>
      <c r="W133" t="s">
        <v>313</v>
      </c>
      <c r="X133" t="s">
        <v>313</v>
      </c>
      <c r="Y133" t="s">
        <v>313</v>
      </c>
      <c r="Z133" t="s">
        <v>313</v>
      </c>
      <c r="AA133" t="s">
        <v>313</v>
      </c>
      <c r="AB133" t="s">
        <v>313</v>
      </c>
      <c r="AC133">
        <v>0</v>
      </c>
    </row>
    <row r="134" spans="4:29" x14ac:dyDescent="0.25">
      <c r="D134" t="s">
        <v>128</v>
      </c>
      <c r="E134" t="s">
        <v>315</v>
      </c>
      <c r="F134" t="s">
        <v>1094</v>
      </c>
      <c r="G134">
        <v>1173</v>
      </c>
      <c r="H134" t="s">
        <v>1161</v>
      </c>
      <c r="I134" t="s">
        <v>392</v>
      </c>
      <c r="J134" t="s">
        <v>1001</v>
      </c>
      <c r="K134" t="s">
        <v>1162</v>
      </c>
      <c r="L134" t="s">
        <v>309</v>
      </c>
      <c r="M134" t="s">
        <v>1004</v>
      </c>
      <c r="N134" t="s">
        <v>402</v>
      </c>
      <c r="O134" t="s">
        <v>309</v>
      </c>
      <c r="P134" t="s">
        <v>392</v>
      </c>
      <c r="Q134" t="s">
        <v>309</v>
      </c>
      <c r="R134" t="s">
        <v>392</v>
      </c>
      <c r="S134" t="s">
        <v>392</v>
      </c>
      <c r="T134" t="s">
        <v>1163</v>
      </c>
      <c r="U134" t="s">
        <v>1164</v>
      </c>
      <c r="V134" t="s">
        <v>545</v>
      </c>
      <c r="W134" t="s">
        <v>313</v>
      </c>
      <c r="X134" t="s">
        <v>313</v>
      </c>
      <c r="Y134" t="s">
        <v>313</v>
      </c>
      <c r="Z134" t="s">
        <v>313</v>
      </c>
      <c r="AA134" t="s">
        <v>313</v>
      </c>
      <c r="AB134" t="s">
        <v>313</v>
      </c>
      <c r="AC134">
        <v>0</v>
      </c>
    </row>
    <row r="135" spans="4:29" x14ac:dyDescent="0.25">
      <c r="D135" t="s">
        <v>129</v>
      </c>
      <c r="E135" t="s">
        <v>315</v>
      </c>
      <c r="F135" t="s">
        <v>1975</v>
      </c>
      <c r="G135">
        <v>130</v>
      </c>
      <c r="H135" t="s">
        <v>504</v>
      </c>
      <c r="I135" t="s">
        <v>347</v>
      </c>
      <c r="J135" t="s">
        <v>1165</v>
      </c>
      <c r="K135" t="s">
        <v>1166</v>
      </c>
      <c r="L135" t="s">
        <v>309</v>
      </c>
      <c r="M135" t="s">
        <v>347</v>
      </c>
      <c r="N135" t="s">
        <v>635</v>
      </c>
      <c r="O135" t="s">
        <v>309</v>
      </c>
      <c r="P135" t="s">
        <v>347</v>
      </c>
      <c r="Q135" t="s">
        <v>309</v>
      </c>
      <c r="R135" t="s">
        <v>347</v>
      </c>
      <c r="S135" t="s">
        <v>347</v>
      </c>
      <c r="T135" t="s">
        <v>1167</v>
      </c>
      <c r="U135" t="s">
        <v>1168</v>
      </c>
      <c r="V135" t="s">
        <v>435</v>
      </c>
      <c r="W135" t="s">
        <v>313</v>
      </c>
      <c r="X135" t="s">
        <v>313</v>
      </c>
      <c r="Y135" t="s">
        <v>313</v>
      </c>
      <c r="Z135" t="s">
        <v>313</v>
      </c>
      <c r="AA135" t="s">
        <v>313</v>
      </c>
      <c r="AB135" t="s">
        <v>313</v>
      </c>
      <c r="AC135">
        <v>0</v>
      </c>
    </row>
    <row r="136" spans="4:29" x14ac:dyDescent="0.25">
      <c r="D136" t="s">
        <v>130</v>
      </c>
      <c r="E136" t="s">
        <v>1079</v>
      </c>
      <c r="F136" t="s">
        <v>1976</v>
      </c>
      <c r="G136">
        <v>1122</v>
      </c>
      <c r="H136" t="s">
        <v>1169</v>
      </c>
      <c r="I136" t="s">
        <v>566</v>
      </c>
      <c r="J136" t="s">
        <v>770</v>
      </c>
      <c r="K136" t="s">
        <v>1170</v>
      </c>
      <c r="L136" t="s">
        <v>309</v>
      </c>
      <c r="M136" t="s">
        <v>772</v>
      </c>
      <c r="N136" t="s">
        <v>455</v>
      </c>
      <c r="O136" t="s">
        <v>309</v>
      </c>
      <c r="P136" t="s">
        <v>566</v>
      </c>
      <c r="Q136" t="s">
        <v>309</v>
      </c>
      <c r="R136" t="s">
        <v>566</v>
      </c>
      <c r="S136" t="s">
        <v>566</v>
      </c>
      <c r="T136" t="s">
        <v>1171</v>
      </c>
      <c r="U136" t="s">
        <v>1172</v>
      </c>
      <c r="V136" t="s">
        <v>745</v>
      </c>
      <c r="W136" t="s">
        <v>313</v>
      </c>
      <c r="X136" t="s">
        <v>313</v>
      </c>
      <c r="Y136" t="s">
        <v>313</v>
      </c>
      <c r="Z136" t="s">
        <v>313</v>
      </c>
      <c r="AA136" t="s">
        <v>1173</v>
      </c>
      <c r="AB136" t="s">
        <v>313</v>
      </c>
      <c r="AC136">
        <v>2</v>
      </c>
    </row>
    <row r="137" spans="4:29" x14ac:dyDescent="0.25">
      <c r="D137" t="s">
        <v>131</v>
      </c>
      <c r="E137" t="s">
        <v>369</v>
      </c>
      <c r="F137" t="s">
        <v>1138</v>
      </c>
      <c r="G137">
        <v>1388</v>
      </c>
      <c r="H137" t="s">
        <v>1174</v>
      </c>
      <c r="I137" t="s">
        <v>1000</v>
      </c>
      <c r="J137" t="s">
        <v>309</v>
      </c>
      <c r="K137" t="s">
        <v>309</v>
      </c>
      <c r="L137" t="s">
        <v>309</v>
      </c>
      <c r="M137" t="s">
        <v>309</v>
      </c>
      <c r="N137" t="s">
        <v>309</v>
      </c>
      <c r="O137" t="s">
        <v>309</v>
      </c>
      <c r="P137" t="s">
        <v>1000</v>
      </c>
      <c r="Q137" t="s">
        <v>309</v>
      </c>
      <c r="R137" t="s">
        <v>1000</v>
      </c>
      <c r="S137" t="s">
        <v>1000</v>
      </c>
      <c r="T137" t="s">
        <v>1175</v>
      </c>
      <c r="U137" t="s">
        <v>1176</v>
      </c>
      <c r="V137" t="s">
        <v>672</v>
      </c>
      <c r="W137" t="s">
        <v>313</v>
      </c>
      <c r="X137" t="s">
        <v>313</v>
      </c>
      <c r="Y137" t="s">
        <v>313</v>
      </c>
      <c r="Z137" t="s">
        <v>313</v>
      </c>
      <c r="AA137" t="s">
        <v>313</v>
      </c>
      <c r="AB137" t="s">
        <v>313</v>
      </c>
      <c r="AC137">
        <v>0</v>
      </c>
    </row>
    <row r="138" spans="4:29" x14ac:dyDescent="0.25">
      <c r="D138" t="s">
        <v>132</v>
      </c>
      <c r="E138" t="s">
        <v>315</v>
      </c>
      <c r="F138" t="s">
        <v>1977</v>
      </c>
      <c r="G138">
        <v>94</v>
      </c>
      <c r="H138" t="s">
        <v>999</v>
      </c>
      <c r="I138" t="s">
        <v>1005</v>
      </c>
      <c r="J138" t="s">
        <v>1177</v>
      </c>
      <c r="K138" t="s">
        <v>806</v>
      </c>
      <c r="L138" t="s">
        <v>1178</v>
      </c>
      <c r="M138" t="s">
        <v>388</v>
      </c>
      <c r="N138" t="s">
        <v>412</v>
      </c>
      <c r="O138" t="s">
        <v>756</v>
      </c>
      <c r="P138" t="s">
        <v>1005</v>
      </c>
      <c r="Q138" t="s">
        <v>309</v>
      </c>
      <c r="R138" t="s">
        <v>1005</v>
      </c>
      <c r="S138" t="s">
        <v>1005</v>
      </c>
      <c r="T138" t="s">
        <v>1179</v>
      </c>
      <c r="U138" t="s">
        <v>1180</v>
      </c>
      <c r="V138" t="s">
        <v>629</v>
      </c>
      <c r="W138" t="s">
        <v>313</v>
      </c>
      <c r="X138" t="s">
        <v>313</v>
      </c>
      <c r="Y138" t="s">
        <v>313</v>
      </c>
      <c r="Z138" t="s">
        <v>313</v>
      </c>
      <c r="AA138" t="s">
        <v>313</v>
      </c>
      <c r="AB138" t="s">
        <v>313</v>
      </c>
      <c r="AC138">
        <v>0</v>
      </c>
    </row>
    <row r="139" spans="4:29" x14ac:dyDescent="0.25">
      <c r="D139" t="s">
        <v>133</v>
      </c>
      <c r="E139" t="s">
        <v>301</v>
      </c>
      <c r="F139" t="s">
        <v>1978</v>
      </c>
      <c r="G139">
        <v>5710</v>
      </c>
      <c r="H139" t="s">
        <v>1531</v>
      </c>
      <c r="I139" t="s">
        <v>317</v>
      </c>
      <c r="J139" t="s">
        <v>1979</v>
      </c>
      <c r="K139" t="s">
        <v>1917</v>
      </c>
      <c r="L139" t="s">
        <v>1980</v>
      </c>
      <c r="M139" t="s">
        <v>444</v>
      </c>
      <c r="N139" t="s">
        <v>358</v>
      </c>
      <c r="O139" t="s">
        <v>491</v>
      </c>
      <c r="P139" t="s">
        <v>1981</v>
      </c>
      <c r="Q139" t="s">
        <v>1226</v>
      </c>
      <c r="R139" t="s">
        <v>920</v>
      </c>
      <c r="S139" t="s">
        <v>1982</v>
      </c>
      <c r="T139" t="s">
        <v>1184</v>
      </c>
      <c r="U139" t="s">
        <v>1185</v>
      </c>
      <c r="V139" t="s">
        <v>312</v>
      </c>
      <c r="W139" t="s">
        <v>313</v>
      </c>
      <c r="X139" t="s">
        <v>313</v>
      </c>
      <c r="Y139" t="s">
        <v>313</v>
      </c>
      <c r="Z139" t="s">
        <v>313</v>
      </c>
      <c r="AA139" t="s">
        <v>1186</v>
      </c>
      <c r="AB139" t="s">
        <v>313</v>
      </c>
      <c r="AC139">
        <v>1</v>
      </c>
    </row>
    <row r="140" spans="4:29" x14ac:dyDescent="0.25">
      <c r="D140" t="s">
        <v>134</v>
      </c>
      <c r="E140" t="s">
        <v>369</v>
      </c>
      <c r="F140" t="s">
        <v>1983</v>
      </c>
      <c r="G140">
        <v>28594</v>
      </c>
      <c r="H140" t="s">
        <v>504</v>
      </c>
      <c r="I140" t="s">
        <v>606</v>
      </c>
      <c r="J140" t="s">
        <v>625</v>
      </c>
      <c r="K140" t="s">
        <v>633</v>
      </c>
      <c r="L140" t="s">
        <v>376</v>
      </c>
      <c r="M140" t="s">
        <v>635</v>
      </c>
      <c r="N140" t="s">
        <v>631</v>
      </c>
      <c r="O140" t="s">
        <v>636</v>
      </c>
      <c r="P140" t="s">
        <v>606</v>
      </c>
      <c r="Q140" t="s">
        <v>309</v>
      </c>
      <c r="R140" t="s">
        <v>606</v>
      </c>
      <c r="S140" t="s">
        <v>606</v>
      </c>
      <c r="T140" t="s">
        <v>1187</v>
      </c>
      <c r="U140" t="s">
        <v>1188</v>
      </c>
      <c r="V140" t="s">
        <v>1189</v>
      </c>
      <c r="W140" t="s">
        <v>313</v>
      </c>
      <c r="X140" t="s">
        <v>313</v>
      </c>
      <c r="Y140" t="s">
        <v>313</v>
      </c>
      <c r="Z140" t="s">
        <v>313</v>
      </c>
      <c r="AA140" t="s">
        <v>1190</v>
      </c>
      <c r="AB140" t="s">
        <v>1191</v>
      </c>
      <c r="AC140">
        <v>5</v>
      </c>
    </row>
    <row r="141" spans="4:29" x14ac:dyDescent="0.25">
      <c r="D141" t="s">
        <v>135</v>
      </c>
      <c r="E141" t="s">
        <v>315</v>
      </c>
      <c r="F141" t="s">
        <v>1984</v>
      </c>
      <c r="G141">
        <v>6271</v>
      </c>
      <c r="H141" t="s">
        <v>576</v>
      </c>
      <c r="I141" t="s">
        <v>345</v>
      </c>
      <c r="J141" t="s">
        <v>1192</v>
      </c>
      <c r="K141" t="s">
        <v>1193</v>
      </c>
      <c r="L141" t="s">
        <v>697</v>
      </c>
      <c r="M141" t="s">
        <v>307</v>
      </c>
      <c r="N141" t="s">
        <v>400</v>
      </c>
      <c r="O141" t="s">
        <v>465</v>
      </c>
      <c r="P141" t="s">
        <v>345</v>
      </c>
      <c r="Q141" t="s">
        <v>309</v>
      </c>
      <c r="R141" t="s">
        <v>345</v>
      </c>
      <c r="S141" t="s">
        <v>345</v>
      </c>
      <c r="T141" t="s">
        <v>1194</v>
      </c>
      <c r="U141" t="s">
        <v>1195</v>
      </c>
      <c r="V141" t="s">
        <v>477</v>
      </c>
      <c r="W141" t="s">
        <v>313</v>
      </c>
      <c r="X141" t="s">
        <v>313</v>
      </c>
      <c r="Y141" t="s">
        <v>313</v>
      </c>
      <c r="Z141" t="s">
        <v>313</v>
      </c>
      <c r="AA141" t="s">
        <v>313</v>
      </c>
      <c r="AB141" t="s">
        <v>313</v>
      </c>
      <c r="AC141">
        <v>0</v>
      </c>
    </row>
    <row r="142" spans="4:29" x14ac:dyDescent="0.25">
      <c r="D142" t="s">
        <v>136</v>
      </c>
      <c r="E142" t="s">
        <v>1079</v>
      </c>
      <c r="F142" t="s">
        <v>1985</v>
      </c>
      <c r="G142">
        <v>250</v>
      </c>
      <c r="H142" t="s">
        <v>1196</v>
      </c>
      <c r="I142" t="s">
        <v>546</v>
      </c>
      <c r="J142" t="s">
        <v>309</v>
      </c>
      <c r="K142" t="s">
        <v>309</v>
      </c>
      <c r="L142" t="s">
        <v>309</v>
      </c>
      <c r="M142" t="s">
        <v>309</v>
      </c>
      <c r="N142" t="s">
        <v>309</v>
      </c>
      <c r="O142" t="s">
        <v>309</v>
      </c>
      <c r="P142" t="s">
        <v>546</v>
      </c>
      <c r="Q142" t="s">
        <v>309</v>
      </c>
      <c r="R142" t="s">
        <v>546</v>
      </c>
      <c r="S142" t="s">
        <v>546</v>
      </c>
      <c r="T142" t="s">
        <v>1197</v>
      </c>
      <c r="U142" t="s">
        <v>1198</v>
      </c>
      <c r="V142" t="s">
        <v>1986</v>
      </c>
      <c r="W142" t="s">
        <v>313</v>
      </c>
      <c r="X142" t="s">
        <v>313</v>
      </c>
      <c r="Y142" t="s">
        <v>313</v>
      </c>
      <c r="Z142" t="s">
        <v>313</v>
      </c>
      <c r="AA142" t="s">
        <v>313</v>
      </c>
      <c r="AB142" t="s">
        <v>313</v>
      </c>
      <c r="AC142">
        <v>0</v>
      </c>
    </row>
    <row r="143" spans="4:29" x14ac:dyDescent="0.25">
      <c r="D143" t="s">
        <v>137</v>
      </c>
      <c r="E143" t="s">
        <v>315</v>
      </c>
      <c r="F143" t="s">
        <v>1987</v>
      </c>
      <c r="G143">
        <v>190590</v>
      </c>
      <c r="H143" t="s">
        <v>1199</v>
      </c>
      <c r="I143" t="s">
        <v>346</v>
      </c>
      <c r="J143" t="s">
        <v>908</v>
      </c>
      <c r="K143" t="s">
        <v>907</v>
      </c>
      <c r="L143" t="s">
        <v>1200</v>
      </c>
      <c r="M143" t="s">
        <v>455</v>
      </c>
      <c r="N143" t="s">
        <v>342</v>
      </c>
      <c r="O143" t="s">
        <v>635</v>
      </c>
      <c r="P143" t="s">
        <v>346</v>
      </c>
      <c r="Q143" t="s">
        <v>309</v>
      </c>
      <c r="R143" t="s">
        <v>346</v>
      </c>
      <c r="S143" t="s">
        <v>346</v>
      </c>
      <c r="T143" t="s">
        <v>1201</v>
      </c>
      <c r="U143" t="s">
        <v>1202</v>
      </c>
      <c r="V143" t="s">
        <v>339</v>
      </c>
      <c r="W143" t="s">
        <v>313</v>
      </c>
      <c r="X143" t="s">
        <v>313</v>
      </c>
      <c r="Y143" t="s">
        <v>313</v>
      </c>
      <c r="Z143" t="s">
        <v>313</v>
      </c>
      <c r="AA143" t="s">
        <v>313</v>
      </c>
      <c r="AB143" t="s">
        <v>313</v>
      </c>
      <c r="AC143">
        <v>0</v>
      </c>
    </row>
    <row r="144" spans="4:29" x14ac:dyDescent="0.25">
      <c r="D144" t="s">
        <v>138</v>
      </c>
      <c r="E144" t="s">
        <v>315</v>
      </c>
      <c r="F144" t="s">
        <v>1882</v>
      </c>
      <c r="G144">
        <v>88019</v>
      </c>
      <c r="H144" t="s">
        <v>869</v>
      </c>
      <c r="I144" t="s">
        <v>455</v>
      </c>
      <c r="J144" t="s">
        <v>470</v>
      </c>
      <c r="K144" t="s">
        <v>1203</v>
      </c>
      <c r="L144" t="s">
        <v>1204</v>
      </c>
      <c r="M144" t="s">
        <v>473</v>
      </c>
      <c r="N144" t="s">
        <v>549</v>
      </c>
      <c r="O144" t="s">
        <v>571</v>
      </c>
      <c r="P144" t="s">
        <v>455</v>
      </c>
      <c r="Q144" t="s">
        <v>309</v>
      </c>
      <c r="R144" t="s">
        <v>455</v>
      </c>
      <c r="S144" t="s">
        <v>455</v>
      </c>
      <c r="T144" t="s">
        <v>1205</v>
      </c>
      <c r="U144" t="s">
        <v>1206</v>
      </c>
      <c r="V144" t="s">
        <v>499</v>
      </c>
      <c r="W144" t="s">
        <v>313</v>
      </c>
      <c r="X144" t="s">
        <v>313</v>
      </c>
      <c r="Y144" t="s">
        <v>313</v>
      </c>
      <c r="Z144" t="s">
        <v>313</v>
      </c>
      <c r="AA144" t="s">
        <v>313</v>
      </c>
      <c r="AB144" t="s">
        <v>313</v>
      </c>
      <c r="AC144">
        <v>0</v>
      </c>
    </row>
    <row r="145" spans="4:29" x14ac:dyDescent="0.25">
      <c r="D145" t="s">
        <v>139</v>
      </c>
      <c r="E145" t="s">
        <v>315</v>
      </c>
      <c r="F145" t="s">
        <v>787</v>
      </c>
      <c r="G145">
        <v>21927</v>
      </c>
      <c r="H145" t="s">
        <v>316</v>
      </c>
      <c r="I145" t="s">
        <v>1150</v>
      </c>
      <c r="J145" t="s">
        <v>1207</v>
      </c>
      <c r="K145" t="s">
        <v>1208</v>
      </c>
      <c r="L145" t="s">
        <v>1209</v>
      </c>
      <c r="M145" t="s">
        <v>421</v>
      </c>
      <c r="N145" t="s">
        <v>379</v>
      </c>
      <c r="O145" t="s">
        <v>413</v>
      </c>
      <c r="P145" t="s">
        <v>1150</v>
      </c>
      <c r="Q145" t="s">
        <v>309</v>
      </c>
      <c r="R145" t="s">
        <v>1150</v>
      </c>
      <c r="S145" t="s">
        <v>1150</v>
      </c>
      <c r="T145" t="s">
        <v>1210</v>
      </c>
      <c r="U145" t="s">
        <v>1211</v>
      </c>
      <c r="V145" t="s">
        <v>672</v>
      </c>
      <c r="W145" t="s">
        <v>313</v>
      </c>
      <c r="X145" t="s">
        <v>313</v>
      </c>
      <c r="Y145" t="s">
        <v>313</v>
      </c>
      <c r="Z145" t="s">
        <v>313</v>
      </c>
      <c r="AA145" t="s">
        <v>313</v>
      </c>
      <c r="AB145" t="s">
        <v>313</v>
      </c>
      <c r="AC145">
        <v>0</v>
      </c>
    </row>
    <row r="146" spans="4:29" x14ac:dyDescent="0.25">
      <c r="D146" t="s">
        <v>140</v>
      </c>
      <c r="E146" t="s">
        <v>315</v>
      </c>
      <c r="F146" t="s">
        <v>1988</v>
      </c>
      <c r="G146">
        <v>92211</v>
      </c>
      <c r="H146" t="s">
        <v>1212</v>
      </c>
      <c r="I146" t="s">
        <v>686</v>
      </c>
      <c r="J146" t="s">
        <v>1213</v>
      </c>
      <c r="K146" t="s">
        <v>1214</v>
      </c>
      <c r="L146" t="s">
        <v>1215</v>
      </c>
      <c r="M146" t="s">
        <v>667</v>
      </c>
      <c r="N146" t="s">
        <v>686</v>
      </c>
      <c r="O146" t="s">
        <v>413</v>
      </c>
      <c r="P146" t="s">
        <v>686</v>
      </c>
      <c r="Q146" t="s">
        <v>309</v>
      </c>
      <c r="R146" t="s">
        <v>686</v>
      </c>
      <c r="S146" t="s">
        <v>686</v>
      </c>
      <c r="T146" t="s">
        <v>1216</v>
      </c>
      <c r="U146" t="s">
        <v>1217</v>
      </c>
      <c r="V146" t="s">
        <v>672</v>
      </c>
      <c r="W146" t="s">
        <v>313</v>
      </c>
      <c r="X146" t="s">
        <v>313</v>
      </c>
      <c r="Y146" t="s">
        <v>313</v>
      </c>
      <c r="Z146" t="s">
        <v>313</v>
      </c>
      <c r="AA146" t="s">
        <v>313</v>
      </c>
      <c r="AB146" t="s">
        <v>313</v>
      </c>
      <c r="AC146">
        <v>0</v>
      </c>
    </row>
    <row r="147" spans="4:29" x14ac:dyDescent="0.25">
      <c r="D147" t="s">
        <v>141</v>
      </c>
      <c r="E147" t="s">
        <v>1079</v>
      </c>
      <c r="F147" t="s">
        <v>439</v>
      </c>
      <c r="G147">
        <v>10990</v>
      </c>
      <c r="H147" t="s">
        <v>351</v>
      </c>
      <c r="I147" t="s">
        <v>309</v>
      </c>
      <c r="J147" t="s">
        <v>309</v>
      </c>
      <c r="K147" t="s">
        <v>309</v>
      </c>
      <c r="L147" t="s">
        <v>309</v>
      </c>
      <c r="M147" t="s">
        <v>309</v>
      </c>
      <c r="N147" t="s">
        <v>309</v>
      </c>
      <c r="O147" t="s">
        <v>309</v>
      </c>
      <c r="P147" t="s">
        <v>309</v>
      </c>
      <c r="Q147" t="s">
        <v>309</v>
      </c>
      <c r="R147" t="s">
        <v>309</v>
      </c>
      <c r="S147" t="s">
        <v>309</v>
      </c>
      <c r="T147" t="s">
        <v>1218</v>
      </c>
      <c r="U147" t="s">
        <v>1219</v>
      </c>
      <c r="V147" t="s">
        <v>1989</v>
      </c>
      <c r="W147" t="s">
        <v>313</v>
      </c>
      <c r="X147" t="s">
        <v>313</v>
      </c>
      <c r="Y147" t="s">
        <v>313</v>
      </c>
      <c r="Z147" t="s">
        <v>313</v>
      </c>
      <c r="AA147" t="s">
        <v>313</v>
      </c>
      <c r="AB147" t="s">
        <v>313</v>
      </c>
      <c r="AC147">
        <v>0</v>
      </c>
    </row>
    <row r="148" spans="4:29" x14ac:dyDescent="0.25">
      <c r="D148" t="s">
        <v>142</v>
      </c>
      <c r="E148" t="s">
        <v>369</v>
      </c>
      <c r="F148" t="s">
        <v>1990</v>
      </c>
      <c r="G148">
        <v>27083</v>
      </c>
      <c r="H148" t="s">
        <v>427</v>
      </c>
      <c r="I148" t="s">
        <v>580</v>
      </c>
      <c r="J148" t="s">
        <v>816</v>
      </c>
      <c r="K148" t="s">
        <v>1221</v>
      </c>
      <c r="L148" t="s">
        <v>874</v>
      </c>
      <c r="M148" t="s">
        <v>580</v>
      </c>
      <c r="N148" t="s">
        <v>514</v>
      </c>
      <c r="O148" t="s">
        <v>571</v>
      </c>
      <c r="P148" t="s">
        <v>580</v>
      </c>
      <c r="Q148" t="s">
        <v>309</v>
      </c>
      <c r="R148" t="s">
        <v>580</v>
      </c>
      <c r="S148" t="s">
        <v>580</v>
      </c>
      <c r="T148" t="s">
        <v>1222</v>
      </c>
      <c r="U148" t="s">
        <v>1223</v>
      </c>
      <c r="V148" t="s">
        <v>435</v>
      </c>
      <c r="W148" t="s">
        <v>313</v>
      </c>
      <c r="X148" t="s">
        <v>313</v>
      </c>
      <c r="Y148" t="s">
        <v>313</v>
      </c>
      <c r="Z148" t="s">
        <v>313</v>
      </c>
      <c r="AA148" t="s">
        <v>1224</v>
      </c>
      <c r="AB148" t="s">
        <v>1225</v>
      </c>
      <c r="AC148">
        <v>20</v>
      </c>
    </row>
    <row r="149" spans="4:29" x14ac:dyDescent="0.25">
      <c r="D149" t="s">
        <v>143</v>
      </c>
      <c r="E149" t="s">
        <v>315</v>
      </c>
      <c r="F149" t="s">
        <v>1823</v>
      </c>
      <c r="G149">
        <v>36563</v>
      </c>
      <c r="H149" t="s">
        <v>478</v>
      </c>
      <c r="I149" t="s">
        <v>319</v>
      </c>
      <c r="J149" t="s">
        <v>1226</v>
      </c>
      <c r="K149" t="s">
        <v>1227</v>
      </c>
      <c r="L149" t="s">
        <v>1228</v>
      </c>
      <c r="M149" t="s">
        <v>1229</v>
      </c>
      <c r="N149" t="s">
        <v>686</v>
      </c>
      <c r="O149" t="s">
        <v>428</v>
      </c>
      <c r="P149" t="s">
        <v>319</v>
      </c>
      <c r="Q149" t="s">
        <v>309</v>
      </c>
      <c r="R149" t="s">
        <v>319</v>
      </c>
      <c r="S149" t="s">
        <v>319</v>
      </c>
      <c r="T149" t="s">
        <v>1230</v>
      </c>
      <c r="U149" t="s">
        <v>1231</v>
      </c>
      <c r="V149" t="s">
        <v>368</v>
      </c>
      <c r="W149" t="s">
        <v>313</v>
      </c>
      <c r="X149" t="s">
        <v>313</v>
      </c>
      <c r="Y149" t="s">
        <v>313</v>
      </c>
      <c r="Z149" t="s">
        <v>313</v>
      </c>
      <c r="AA149" t="s">
        <v>313</v>
      </c>
      <c r="AB149" t="s">
        <v>313</v>
      </c>
      <c r="AC149">
        <v>0</v>
      </c>
    </row>
    <row r="150" spans="4:29" x14ac:dyDescent="0.25">
      <c r="D150" t="s">
        <v>144</v>
      </c>
      <c r="E150" t="s">
        <v>301</v>
      </c>
      <c r="F150" t="s">
        <v>1969</v>
      </c>
      <c r="G150">
        <v>1</v>
      </c>
      <c r="H150" t="s">
        <v>1232</v>
      </c>
      <c r="I150" t="s">
        <v>913</v>
      </c>
      <c r="J150" t="s">
        <v>1233</v>
      </c>
      <c r="K150" t="s">
        <v>550</v>
      </c>
      <c r="L150" t="s">
        <v>595</v>
      </c>
      <c r="M150" t="s">
        <v>362</v>
      </c>
      <c r="N150" t="s">
        <v>495</v>
      </c>
      <c r="O150" t="s">
        <v>597</v>
      </c>
      <c r="P150" t="s">
        <v>913</v>
      </c>
      <c r="Q150" t="s">
        <v>309</v>
      </c>
      <c r="R150" t="s">
        <v>913</v>
      </c>
      <c r="S150" t="s">
        <v>913</v>
      </c>
      <c r="T150" t="s">
        <v>1234</v>
      </c>
      <c r="U150" t="s">
        <v>1235</v>
      </c>
      <c r="V150" t="s">
        <v>477</v>
      </c>
      <c r="W150" t="s">
        <v>313</v>
      </c>
      <c r="X150" t="s">
        <v>313</v>
      </c>
      <c r="Y150" t="s">
        <v>313</v>
      </c>
      <c r="Z150" t="s">
        <v>313</v>
      </c>
      <c r="AA150" t="s">
        <v>1236</v>
      </c>
      <c r="AB150" t="s">
        <v>313</v>
      </c>
      <c r="AC150">
        <v>3</v>
      </c>
    </row>
    <row r="151" spans="4:29" x14ac:dyDescent="0.25">
      <c r="D151" t="s">
        <v>145</v>
      </c>
      <c r="E151" t="s">
        <v>1079</v>
      </c>
      <c r="F151" t="s">
        <v>1991</v>
      </c>
      <c r="G151">
        <v>646</v>
      </c>
      <c r="H151" t="s">
        <v>357</v>
      </c>
      <c r="I151" t="s">
        <v>313</v>
      </c>
      <c r="J151" t="s">
        <v>313</v>
      </c>
      <c r="K151" t="s">
        <v>313</v>
      </c>
      <c r="L151" t="s">
        <v>313</v>
      </c>
      <c r="M151" t="s">
        <v>313</v>
      </c>
      <c r="N151" t="s">
        <v>313</v>
      </c>
      <c r="O151" t="s">
        <v>313</v>
      </c>
      <c r="P151" t="s">
        <v>313</v>
      </c>
      <c r="Q151" t="s">
        <v>313</v>
      </c>
      <c r="R151" t="s">
        <v>313</v>
      </c>
      <c r="S151" t="s">
        <v>313</v>
      </c>
      <c r="T151" t="s">
        <v>1237</v>
      </c>
      <c r="U151" t="s">
        <v>1238</v>
      </c>
      <c r="V151" t="s">
        <v>1992</v>
      </c>
      <c r="W151" t="s">
        <v>313</v>
      </c>
      <c r="X151" t="s">
        <v>313</v>
      </c>
      <c r="Y151" t="s">
        <v>313</v>
      </c>
      <c r="Z151" t="s">
        <v>313</v>
      </c>
      <c r="AA151" t="s">
        <v>313</v>
      </c>
      <c r="AB151" t="s">
        <v>313</v>
      </c>
      <c r="AC151">
        <v>0</v>
      </c>
    </row>
    <row r="152" spans="4:29" x14ac:dyDescent="0.25">
      <c r="D152" t="s">
        <v>146</v>
      </c>
      <c r="E152" t="s">
        <v>356</v>
      </c>
      <c r="F152" t="s">
        <v>1993</v>
      </c>
      <c r="G152">
        <v>443</v>
      </c>
      <c r="H152" t="s">
        <v>1239</v>
      </c>
      <c r="I152" t="s">
        <v>647</v>
      </c>
      <c r="J152" t="s">
        <v>460</v>
      </c>
      <c r="K152" t="s">
        <v>1240</v>
      </c>
      <c r="L152" t="s">
        <v>314</v>
      </c>
      <c r="M152" t="s">
        <v>465</v>
      </c>
      <c r="N152" t="s">
        <v>631</v>
      </c>
      <c r="O152" t="s">
        <v>636</v>
      </c>
      <c r="P152" t="s">
        <v>647</v>
      </c>
      <c r="Q152" t="s">
        <v>309</v>
      </c>
      <c r="R152" t="s">
        <v>647</v>
      </c>
      <c r="S152" t="s">
        <v>647</v>
      </c>
      <c r="T152" t="s">
        <v>1241</v>
      </c>
      <c r="U152" t="s">
        <v>1242</v>
      </c>
      <c r="V152" t="s">
        <v>477</v>
      </c>
      <c r="W152" t="s">
        <v>313</v>
      </c>
      <c r="X152" t="s">
        <v>313</v>
      </c>
      <c r="Y152" t="s">
        <v>313</v>
      </c>
      <c r="Z152" t="s">
        <v>313</v>
      </c>
      <c r="AA152" t="s">
        <v>513</v>
      </c>
      <c r="AB152" t="s">
        <v>313</v>
      </c>
      <c r="AC152">
        <v>5</v>
      </c>
    </row>
    <row r="153" spans="4:29" x14ac:dyDescent="0.25">
      <c r="D153" t="s">
        <v>147</v>
      </c>
      <c r="E153" t="s">
        <v>1079</v>
      </c>
      <c r="F153" t="s">
        <v>1994</v>
      </c>
      <c r="G153">
        <v>73</v>
      </c>
      <c r="H153" t="s">
        <v>504</v>
      </c>
      <c r="I153" t="s">
        <v>580</v>
      </c>
      <c r="J153" t="s">
        <v>685</v>
      </c>
      <c r="K153" t="s">
        <v>1243</v>
      </c>
      <c r="L153" t="s">
        <v>1244</v>
      </c>
      <c r="M153" t="s">
        <v>361</v>
      </c>
      <c r="N153" t="s">
        <v>570</v>
      </c>
      <c r="O153" t="s">
        <v>495</v>
      </c>
      <c r="P153" t="s">
        <v>580</v>
      </c>
      <c r="Q153" t="s">
        <v>309</v>
      </c>
      <c r="R153" t="s">
        <v>580</v>
      </c>
      <c r="S153" t="s">
        <v>580</v>
      </c>
      <c r="T153" t="s">
        <v>1245</v>
      </c>
      <c r="U153" t="s">
        <v>1246</v>
      </c>
      <c r="V153" t="s">
        <v>1247</v>
      </c>
      <c r="W153" t="s">
        <v>313</v>
      </c>
      <c r="X153" t="s">
        <v>313</v>
      </c>
      <c r="Y153" t="s">
        <v>313</v>
      </c>
      <c r="Z153" t="s">
        <v>313</v>
      </c>
      <c r="AA153" t="s">
        <v>1047</v>
      </c>
      <c r="AB153" t="s">
        <v>313</v>
      </c>
      <c r="AC153">
        <v>4</v>
      </c>
    </row>
    <row r="154" spans="4:29" x14ac:dyDescent="0.25">
      <c r="D154" t="s">
        <v>148</v>
      </c>
      <c r="E154" t="s">
        <v>356</v>
      </c>
      <c r="F154" t="s">
        <v>386</v>
      </c>
      <c r="G154">
        <v>18260</v>
      </c>
      <c r="H154" t="s">
        <v>1248</v>
      </c>
      <c r="I154" t="s">
        <v>465</v>
      </c>
      <c r="J154" t="s">
        <v>775</v>
      </c>
      <c r="K154" t="s">
        <v>1226</v>
      </c>
      <c r="L154" t="s">
        <v>1249</v>
      </c>
      <c r="M154" t="s">
        <v>347</v>
      </c>
      <c r="N154" t="s">
        <v>635</v>
      </c>
      <c r="O154" t="s">
        <v>308</v>
      </c>
      <c r="P154" t="s">
        <v>1249</v>
      </c>
      <c r="Q154" t="s">
        <v>1250</v>
      </c>
      <c r="R154" t="s">
        <v>1251</v>
      </c>
      <c r="S154" t="s">
        <v>1252</v>
      </c>
      <c r="T154" t="s">
        <v>1253</v>
      </c>
      <c r="U154" t="s">
        <v>1254</v>
      </c>
      <c r="V154" t="s">
        <v>602</v>
      </c>
      <c r="W154" t="s">
        <v>313</v>
      </c>
      <c r="X154" t="s">
        <v>313</v>
      </c>
      <c r="Y154" t="s">
        <v>313</v>
      </c>
      <c r="Z154" t="s">
        <v>313</v>
      </c>
      <c r="AA154" t="s">
        <v>948</v>
      </c>
      <c r="AB154" t="s">
        <v>309</v>
      </c>
      <c r="AC154">
        <v>10</v>
      </c>
    </row>
    <row r="155" spans="4:29" x14ac:dyDescent="0.25">
      <c r="D155" t="s">
        <v>149</v>
      </c>
      <c r="E155" t="s">
        <v>301</v>
      </c>
      <c r="F155" t="s">
        <v>1995</v>
      </c>
      <c r="G155">
        <v>15077</v>
      </c>
      <c r="H155" t="s">
        <v>630</v>
      </c>
      <c r="I155" t="s">
        <v>474</v>
      </c>
      <c r="J155" t="s">
        <v>1255</v>
      </c>
      <c r="K155" t="s">
        <v>1256</v>
      </c>
      <c r="L155" t="s">
        <v>618</v>
      </c>
      <c r="M155" t="s">
        <v>647</v>
      </c>
      <c r="N155" t="s">
        <v>606</v>
      </c>
      <c r="O155" t="s">
        <v>570</v>
      </c>
      <c r="P155" t="s">
        <v>474</v>
      </c>
      <c r="Q155" t="s">
        <v>309</v>
      </c>
      <c r="R155" t="s">
        <v>474</v>
      </c>
      <c r="S155" t="s">
        <v>474</v>
      </c>
      <c r="T155" t="s">
        <v>1996</v>
      </c>
      <c r="U155" t="s">
        <v>1257</v>
      </c>
      <c r="V155" t="s">
        <v>545</v>
      </c>
      <c r="W155" t="s">
        <v>313</v>
      </c>
      <c r="X155" t="s">
        <v>313</v>
      </c>
      <c r="Y155" t="s">
        <v>313</v>
      </c>
      <c r="Z155" t="s">
        <v>313</v>
      </c>
      <c r="AA155" t="s">
        <v>791</v>
      </c>
      <c r="AB155" t="s">
        <v>313</v>
      </c>
      <c r="AC155">
        <v>8</v>
      </c>
    </row>
    <row r="156" spans="4:29" x14ac:dyDescent="0.25">
      <c r="D156" t="s">
        <v>150</v>
      </c>
      <c r="E156" t="s">
        <v>315</v>
      </c>
      <c r="F156" t="s">
        <v>1803</v>
      </c>
      <c r="G156">
        <v>873</v>
      </c>
      <c r="H156" t="s">
        <v>999</v>
      </c>
      <c r="I156" t="s">
        <v>1258</v>
      </c>
      <c r="J156" t="s">
        <v>309</v>
      </c>
      <c r="K156" t="s">
        <v>309</v>
      </c>
      <c r="L156" t="s">
        <v>309</v>
      </c>
      <c r="M156" t="s">
        <v>309</v>
      </c>
      <c r="N156" t="s">
        <v>309</v>
      </c>
      <c r="O156" t="s">
        <v>309</v>
      </c>
      <c r="P156" t="s">
        <v>1258</v>
      </c>
      <c r="Q156" t="s">
        <v>309</v>
      </c>
      <c r="R156" t="s">
        <v>1258</v>
      </c>
      <c r="S156" t="s">
        <v>1258</v>
      </c>
      <c r="T156" t="s">
        <v>1259</v>
      </c>
      <c r="U156" t="s">
        <v>1260</v>
      </c>
      <c r="V156" t="s">
        <v>532</v>
      </c>
      <c r="W156" t="s">
        <v>313</v>
      </c>
      <c r="X156" t="s">
        <v>313</v>
      </c>
      <c r="Y156" t="s">
        <v>313</v>
      </c>
      <c r="Z156" t="s">
        <v>313</v>
      </c>
      <c r="AA156" t="s">
        <v>313</v>
      </c>
      <c r="AB156" t="s">
        <v>313</v>
      </c>
      <c r="AC156">
        <v>0</v>
      </c>
    </row>
    <row r="157" spans="4:29" x14ac:dyDescent="0.25">
      <c r="D157" t="s">
        <v>151</v>
      </c>
      <c r="E157" t="s">
        <v>449</v>
      </c>
      <c r="F157" t="s">
        <v>1997</v>
      </c>
      <c r="G157">
        <v>1470</v>
      </c>
      <c r="H157" t="s">
        <v>1362</v>
      </c>
      <c r="I157" t="s">
        <v>342</v>
      </c>
      <c r="J157" t="s">
        <v>696</v>
      </c>
      <c r="K157" t="s">
        <v>1541</v>
      </c>
      <c r="L157" t="s">
        <v>1788</v>
      </c>
      <c r="M157" t="s">
        <v>566</v>
      </c>
      <c r="N157" t="s">
        <v>566</v>
      </c>
      <c r="O157" t="s">
        <v>307</v>
      </c>
      <c r="P157" t="s">
        <v>1788</v>
      </c>
      <c r="Q157" t="s">
        <v>1998</v>
      </c>
      <c r="R157" t="s">
        <v>1262</v>
      </c>
      <c r="S157" t="s">
        <v>1999</v>
      </c>
      <c r="T157" t="s">
        <v>1264</v>
      </c>
      <c r="U157" t="s">
        <v>1265</v>
      </c>
      <c r="V157" t="s">
        <v>1549</v>
      </c>
      <c r="W157" t="s">
        <v>313</v>
      </c>
      <c r="X157" t="s">
        <v>313</v>
      </c>
      <c r="Y157" t="s">
        <v>313</v>
      </c>
      <c r="Z157" t="s">
        <v>313</v>
      </c>
      <c r="AA157" t="s">
        <v>541</v>
      </c>
      <c r="AB157" t="s">
        <v>313</v>
      </c>
      <c r="AC157">
        <v>8</v>
      </c>
    </row>
    <row r="158" spans="4:29" x14ac:dyDescent="0.25">
      <c r="D158" t="s">
        <v>152</v>
      </c>
      <c r="E158" t="s">
        <v>449</v>
      </c>
      <c r="F158" t="s">
        <v>2000</v>
      </c>
      <c r="G158">
        <v>50</v>
      </c>
      <c r="H158" t="s">
        <v>1266</v>
      </c>
      <c r="I158" t="s">
        <v>1229</v>
      </c>
      <c r="J158" t="s">
        <v>2001</v>
      </c>
      <c r="K158" t="s">
        <v>2002</v>
      </c>
      <c r="L158" t="s">
        <v>2003</v>
      </c>
      <c r="M158" t="s">
        <v>380</v>
      </c>
      <c r="N158" t="s">
        <v>483</v>
      </c>
      <c r="O158" t="s">
        <v>822</v>
      </c>
      <c r="P158" t="s">
        <v>1139</v>
      </c>
      <c r="Q158" t="s">
        <v>2004</v>
      </c>
      <c r="R158" t="s">
        <v>2005</v>
      </c>
      <c r="S158" t="s">
        <v>2006</v>
      </c>
      <c r="T158" t="s">
        <v>1268</v>
      </c>
      <c r="U158" t="s">
        <v>1269</v>
      </c>
      <c r="V158" t="s">
        <v>1270</v>
      </c>
      <c r="W158" t="s">
        <v>313</v>
      </c>
      <c r="X158" t="s">
        <v>313</v>
      </c>
      <c r="Y158" t="s">
        <v>313</v>
      </c>
      <c r="Z158" t="s">
        <v>313</v>
      </c>
      <c r="AA158" t="s">
        <v>309</v>
      </c>
      <c r="AB158" t="s">
        <v>313</v>
      </c>
      <c r="AC158">
        <v>2</v>
      </c>
    </row>
    <row r="159" spans="4:29" x14ac:dyDescent="0.25">
      <c r="D159" t="s">
        <v>153</v>
      </c>
      <c r="E159" t="s">
        <v>315</v>
      </c>
      <c r="F159" t="s">
        <v>2007</v>
      </c>
      <c r="G159">
        <v>32038</v>
      </c>
      <c r="H159" t="s">
        <v>1271</v>
      </c>
      <c r="I159" t="s">
        <v>825</v>
      </c>
      <c r="J159" t="s">
        <v>1186</v>
      </c>
      <c r="K159" t="s">
        <v>1272</v>
      </c>
      <c r="L159" t="s">
        <v>1273</v>
      </c>
      <c r="M159" t="s">
        <v>329</v>
      </c>
      <c r="N159" t="s">
        <v>329</v>
      </c>
      <c r="O159" t="s">
        <v>454</v>
      </c>
      <c r="P159" t="s">
        <v>1273</v>
      </c>
      <c r="Q159" t="s">
        <v>413</v>
      </c>
      <c r="R159" t="s">
        <v>708</v>
      </c>
      <c r="S159" t="s">
        <v>1274</v>
      </c>
      <c r="T159" t="s">
        <v>1275</v>
      </c>
      <c r="U159" t="s">
        <v>1276</v>
      </c>
      <c r="V159" t="s">
        <v>327</v>
      </c>
      <c r="W159" t="s">
        <v>313</v>
      </c>
      <c r="X159" t="s">
        <v>313</v>
      </c>
      <c r="Y159" t="s">
        <v>313</v>
      </c>
      <c r="Z159" t="s">
        <v>313</v>
      </c>
      <c r="AA159" t="s">
        <v>313</v>
      </c>
      <c r="AB159" t="s">
        <v>313</v>
      </c>
      <c r="AC159">
        <v>0</v>
      </c>
    </row>
    <row r="160" spans="4:29" x14ac:dyDescent="0.25">
      <c r="D160" t="s">
        <v>154</v>
      </c>
      <c r="E160" t="s">
        <v>315</v>
      </c>
      <c r="F160" t="s">
        <v>1826</v>
      </c>
      <c r="G160">
        <v>92110</v>
      </c>
      <c r="H160" t="s">
        <v>1277</v>
      </c>
      <c r="I160" t="s">
        <v>969</v>
      </c>
      <c r="J160" t="s">
        <v>309</v>
      </c>
      <c r="K160" t="s">
        <v>309</v>
      </c>
      <c r="L160" t="s">
        <v>309</v>
      </c>
      <c r="M160" t="s">
        <v>309</v>
      </c>
      <c r="N160" t="s">
        <v>309</v>
      </c>
      <c r="O160" t="s">
        <v>309</v>
      </c>
      <c r="P160" t="s">
        <v>493</v>
      </c>
      <c r="Q160" t="s">
        <v>1278</v>
      </c>
      <c r="R160" t="s">
        <v>558</v>
      </c>
      <c r="S160" t="s">
        <v>632</v>
      </c>
      <c r="T160" t="s">
        <v>1279</v>
      </c>
      <c r="U160" t="s">
        <v>1280</v>
      </c>
      <c r="V160" t="s">
        <v>879</v>
      </c>
      <c r="W160" t="s">
        <v>313</v>
      </c>
      <c r="X160" t="s">
        <v>313</v>
      </c>
      <c r="Y160" t="s">
        <v>313</v>
      </c>
      <c r="Z160" t="s">
        <v>313</v>
      </c>
      <c r="AA160" t="s">
        <v>313</v>
      </c>
      <c r="AB160" t="s">
        <v>313</v>
      </c>
      <c r="AC160">
        <v>0</v>
      </c>
    </row>
    <row r="161" spans="4:29" x14ac:dyDescent="0.25">
      <c r="D161" t="s">
        <v>155</v>
      </c>
      <c r="E161" t="s">
        <v>315</v>
      </c>
      <c r="F161" t="s">
        <v>1281</v>
      </c>
      <c r="G161">
        <v>72</v>
      </c>
      <c r="H161" t="s">
        <v>316</v>
      </c>
      <c r="I161" t="s">
        <v>1000</v>
      </c>
      <c r="J161" t="s">
        <v>959</v>
      </c>
      <c r="K161" t="s">
        <v>309</v>
      </c>
      <c r="L161" t="s">
        <v>309</v>
      </c>
      <c r="M161" t="s">
        <v>756</v>
      </c>
      <c r="N161" t="s">
        <v>309</v>
      </c>
      <c r="O161" t="s">
        <v>309</v>
      </c>
      <c r="P161" t="s">
        <v>1282</v>
      </c>
      <c r="Q161" t="s">
        <v>1258</v>
      </c>
      <c r="R161" t="s">
        <v>1192</v>
      </c>
      <c r="S161" t="s">
        <v>1283</v>
      </c>
      <c r="T161" t="s">
        <v>1284</v>
      </c>
      <c r="U161" t="s">
        <v>1285</v>
      </c>
      <c r="V161" t="s">
        <v>1286</v>
      </c>
      <c r="W161" t="s">
        <v>313</v>
      </c>
      <c r="X161" t="s">
        <v>313</v>
      </c>
      <c r="Y161" t="s">
        <v>313</v>
      </c>
      <c r="Z161" t="s">
        <v>313</v>
      </c>
      <c r="AA161" t="s">
        <v>313</v>
      </c>
      <c r="AB161" t="s">
        <v>313</v>
      </c>
      <c r="AC161">
        <v>0</v>
      </c>
    </row>
    <row r="162" spans="4:29" x14ac:dyDescent="0.25">
      <c r="D162" t="s">
        <v>156</v>
      </c>
      <c r="E162" t="s">
        <v>369</v>
      </c>
      <c r="F162" t="s">
        <v>1820</v>
      </c>
      <c r="G162">
        <v>2346</v>
      </c>
      <c r="H162" t="s">
        <v>1287</v>
      </c>
      <c r="I162" t="s">
        <v>686</v>
      </c>
      <c r="J162" t="s">
        <v>1288</v>
      </c>
      <c r="K162" t="s">
        <v>1289</v>
      </c>
      <c r="L162" t="s">
        <v>1290</v>
      </c>
      <c r="M162" t="s">
        <v>412</v>
      </c>
      <c r="N162" t="s">
        <v>558</v>
      </c>
      <c r="O162" t="s">
        <v>371</v>
      </c>
      <c r="P162" t="s">
        <v>686</v>
      </c>
      <c r="Q162" t="s">
        <v>309</v>
      </c>
      <c r="R162" t="s">
        <v>686</v>
      </c>
      <c r="S162" t="s">
        <v>686</v>
      </c>
      <c r="T162" t="s">
        <v>1291</v>
      </c>
      <c r="U162" t="s">
        <v>1292</v>
      </c>
      <c r="V162" t="s">
        <v>734</v>
      </c>
      <c r="W162" t="s">
        <v>313</v>
      </c>
      <c r="X162" t="s">
        <v>313</v>
      </c>
      <c r="Y162" t="s">
        <v>313</v>
      </c>
      <c r="Z162" t="s">
        <v>313</v>
      </c>
      <c r="AA162" t="s">
        <v>313</v>
      </c>
      <c r="AB162" t="s">
        <v>313</v>
      </c>
      <c r="AC162">
        <v>0</v>
      </c>
    </row>
    <row r="163" spans="4:29" x14ac:dyDescent="0.25">
      <c r="D163" t="s">
        <v>157</v>
      </c>
      <c r="E163" t="s">
        <v>369</v>
      </c>
      <c r="F163" t="s">
        <v>2008</v>
      </c>
      <c r="G163">
        <v>4712</v>
      </c>
      <c r="H163" t="s">
        <v>1293</v>
      </c>
      <c r="I163" t="s">
        <v>707</v>
      </c>
      <c r="J163" t="s">
        <v>1294</v>
      </c>
      <c r="K163" t="s">
        <v>1295</v>
      </c>
      <c r="L163" t="s">
        <v>1296</v>
      </c>
      <c r="M163" t="s">
        <v>428</v>
      </c>
      <c r="N163" t="s">
        <v>756</v>
      </c>
      <c r="O163" t="s">
        <v>444</v>
      </c>
      <c r="P163" t="s">
        <v>707</v>
      </c>
      <c r="Q163" t="s">
        <v>309</v>
      </c>
      <c r="R163" t="s">
        <v>707</v>
      </c>
      <c r="S163" t="s">
        <v>707</v>
      </c>
      <c r="T163" t="s">
        <v>1297</v>
      </c>
      <c r="U163" t="s">
        <v>1298</v>
      </c>
      <c r="V163" t="s">
        <v>642</v>
      </c>
      <c r="W163" t="s">
        <v>313</v>
      </c>
      <c r="X163" t="s">
        <v>313</v>
      </c>
      <c r="Y163" t="s">
        <v>313</v>
      </c>
      <c r="Z163" t="s">
        <v>313</v>
      </c>
      <c r="AA163" t="s">
        <v>313</v>
      </c>
      <c r="AB163" t="s">
        <v>313</v>
      </c>
      <c r="AC163">
        <v>9</v>
      </c>
    </row>
    <row r="164" spans="4:29" x14ac:dyDescent="0.25">
      <c r="D164" t="s">
        <v>158</v>
      </c>
      <c r="E164" t="s">
        <v>315</v>
      </c>
      <c r="F164" t="s">
        <v>2009</v>
      </c>
      <c r="G164">
        <v>711</v>
      </c>
      <c r="H164" t="s">
        <v>1271</v>
      </c>
      <c r="I164" t="s">
        <v>413</v>
      </c>
      <c r="J164" t="s">
        <v>1299</v>
      </c>
      <c r="K164" t="s">
        <v>1300</v>
      </c>
      <c r="L164" t="s">
        <v>1301</v>
      </c>
      <c r="M164" t="s">
        <v>707</v>
      </c>
      <c r="N164" t="s">
        <v>329</v>
      </c>
      <c r="O164" t="s">
        <v>958</v>
      </c>
      <c r="P164" t="s">
        <v>1301</v>
      </c>
      <c r="Q164" t="s">
        <v>359</v>
      </c>
      <c r="R164" t="s">
        <v>1302</v>
      </c>
      <c r="S164" t="s">
        <v>599</v>
      </c>
      <c r="T164" t="s">
        <v>1303</v>
      </c>
      <c r="U164" t="s">
        <v>1304</v>
      </c>
      <c r="V164" t="s">
        <v>879</v>
      </c>
      <c r="W164" t="s">
        <v>313</v>
      </c>
      <c r="X164" t="s">
        <v>313</v>
      </c>
      <c r="Y164" t="s">
        <v>313</v>
      </c>
      <c r="Z164" t="s">
        <v>313</v>
      </c>
      <c r="AA164" t="s">
        <v>313</v>
      </c>
      <c r="AB164" t="s">
        <v>313</v>
      </c>
      <c r="AC164">
        <v>0</v>
      </c>
    </row>
    <row r="165" spans="4:29" x14ac:dyDescent="0.25">
      <c r="D165" t="s">
        <v>159</v>
      </c>
      <c r="E165" t="s">
        <v>315</v>
      </c>
      <c r="F165" t="s">
        <v>2010</v>
      </c>
      <c r="G165">
        <v>16736</v>
      </c>
      <c r="H165" t="s">
        <v>1113</v>
      </c>
      <c r="I165" t="s">
        <v>454</v>
      </c>
      <c r="J165" t="s">
        <v>837</v>
      </c>
      <c r="K165" t="s">
        <v>838</v>
      </c>
      <c r="L165" t="s">
        <v>1305</v>
      </c>
      <c r="M165" t="s">
        <v>772</v>
      </c>
      <c r="N165" t="s">
        <v>566</v>
      </c>
      <c r="O165" t="s">
        <v>474</v>
      </c>
      <c r="P165" t="s">
        <v>454</v>
      </c>
      <c r="Q165" t="s">
        <v>309</v>
      </c>
      <c r="R165" t="s">
        <v>454</v>
      </c>
      <c r="S165" t="s">
        <v>454</v>
      </c>
      <c r="T165" t="s">
        <v>1306</v>
      </c>
      <c r="U165" t="s">
        <v>1307</v>
      </c>
      <c r="V165" t="s">
        <v>425</v>
      </c>
      <c r="W165" t="s">
        <v>313</v>
      </c>
      <c r="X165" t="s">
        <v>313</v>
      </c>
      <c r="Y165" t="s">
        <v>313</v>
      </c>
      <c r="Z165" t="s">
        <v>313</v>
      </c>
      <c r="AA165" t="s">
        <v>313</v>
      </c>
      <c r="AB165" t="s">
        <v>313</v>
      </c>
      <c r="AC165">
        <v>0</v>
      </c>
    </row>
    <row r="166" spans="4:29" x14ac:dyDescent="0.25">
      <c r="D166" t="s">
        <v>160</v>
      </c>
      <c r="E166" t="s">
        <v>1122</v>
      </c>
      <c r="F166" t="s">
        <v>2011</v>
      </c>
      <c r="G166">
        <v>85</v>
      </c>
      <c r="H166" t="s">
        <v>911</v>
      </c>
      <c r="I166" t="s">
        <v>371</v>
      </c>
      <c r="J166" t="s">
        <v>1308</v>
      </c>
      <c r="K166" t="s">
        <v>838</v>
      </c>
      <c r="L166" t="s">
        <v>1309</v>
      </c>
      <c r="M166" t="s">
        <v>958</v>
      </c>
      <c r="N166" t="s">
        <v>566</v>
      </c>
      <c r="O166" t="s">
        <v>400</v>
      </c>
      <c r="P166" t="s">
        <v>1309</v>
      </c>
      <c r="Q166" t="s">
        <v>1310</v>
      </c>
      <c r="R166" t="s">
        <v>871</v>
      </c>
      <c r="S166" t="s">
        <v>1311</v>
      </c>
      <c r="T166" t="s">
        <v>1312</v>
      </c>
      <c r="U166" t="s">
        <v>644</v>
      </c>
      <c r="V166" t="s">
        <v>435</v>
      </c>
      <c r="W166" t="s">
        <v>313</v>
      </c>
      <c r="X166" t="s">
        <v>313</v>
      </c>
      <c r="Y166" t="s">
        <v>313</v>
      </c>
      <c r="Z166" t="s">
        <v>313</v>
      </c>
      <c r="AA166" t="s">
        <v>313</v>
      </c>
      <c r="AB166" t="s">
        <v>313</v>
      </c>
      <c r="AC166">
        <v>0</v>
      </c>
    </row>
    <row r="167" spans="4:29" x14ac:dyDescent="0.25">
      <c r="D167" t="s">
        <v>161</v>
      </c>
      <c r="E167" t="s">
        <v>356</v>
      </c>
      <c r="F167" t="s">
        <v>2012</v>
      </c>
      <c r="G167">
        <v>1249</v>
      </c>
      <c r="H167" t="s">
        <v>576</v>
      </c>
      <c r="I167" t="s">
        <v>483</v>
      </c>
      <c r="J167" t="s">
        <v>971</v>
      </c>
      <c r="K167" t="s">
        <v>309</v>
      </c>
      <c r="L167" t="s">
        <v>309</v>
      </c>
      <c r="M167" t="s">
        <v>527</v>
      </c>
      <c r="N167" t="s">
        <v>309</v>
      </c>
      <c r="O167" t="s">
        <v>309</v>
      </c>
      <c r="P167" t="s">
        <v>483</v>
      </c>
      <c r="Q167" t="s">
        <v>309</v>
      </c>
      <c r="R167" t="s">
        <v>483</v>
      </c>
      <c r="S167" t="s">
        <v>483</v>
      </c>
      <c r="T167" t="s">
        <v>1314</v>
      </c>
      <c r="U167" t="s">
        <v>793</v>
      </c>
      <c r="V167" t="s">
        <v>1944</v>
      </c>
      <c r="W167" t="s">
        <v>313</v>
      </c>
      <c r="X167" t="s">
        <v>313</v>
      </c>
      <c r="Y167" t="s">
        <v>313</v>
      </c>
      <c r="Z167" t="s">
        <v>313</v>
      </c>
      <c r="AA167" t="s">
        <v>309</v>
      </c>
      <c r="AB167" t="s">
        <v>313</v>
      </c>
      <c r="AC167">
        <v>3</v>
      </c>
    </row>
    <row r="168" spans="4:29" x14ac:dyDescent="0.25">
      <c r="D168" t="s">
        <v>162</v>
      </c>
      <c r="E168" t="s">
        <v>315</v>
      </c>
      <c r="F168" t="s">
        <v>2013</v>
      </c>
      <c r="G168">
        <v>1838</v>
      </c>
      <c r="H168" t="s">
        <v>478</v>
      </c>
      <c r="I168" t="s">
        <v>379</v>
      </c>
      <c r="J168" t="s">
        <v>546</v>
      </c>
      <c r="K168" t="s">
        <v>309</v>
      </c>
      <c r="L168" t="s">
        <v>309</v>
      </c>
      <c r="M168" t="s">
        <v>345</v>
      </c>
      <c r="N168" t="s">
        <v>309</v>
      </c>
      <c r="O168" t="s">
        <v>309</v>
      </c>
      <c r="P168" t="s">
        <v>546</v>
      </c>
      <c r="Q168" t="s">
        <v>982</v>
      </c>
      <c r="R168" t="s">
        <v>317</v>
      </c>
      <c r="S168" t="s">
        <v>1315</v>
      </c>
      <c r="T168" t="s">
        <v>1316</v>
      </c>
      <c r="U168" t="s">
        <v>1317</v>
      </c>
      <c r="V168" t="s">
        <v>532</v>
      </c>
      <c r="W168" t="s">
        <v>313</v>
      </c>
      <c r="X168" t="s">
        <v>313</v>
      </c>
      <c r="Y168" t="s">
        <v>313</v>
      </c>
      <c r="Z168" t="s">
        <v>313</v>
      </c>
      <c r="AA168" t="s">
        <v>313</v>
      </c>
      <c r="AB168" t="s">
        <v>313</v>
      </c>
      <c r="AC168">
        <v>0</v>
      </c>
    </row>
    <row r="169" spans="4:29" x14ac:dyDescent="0.25">
      <c r="D169" t="s">
        <v>163</v>
      </c>
      <c r="E169" t="s">
        <v>315</v>
      </c>
      <c r="F169" t="s">
        <v>1818</v>
      </c>
      <c r="G169">
        <v>6622</v>
      </c>
      <c r="H169" t="s">
        <v>800</v>
      </c>
      <c r="I169" t="s">
        <v>401</v>
      </c>
      <c r="J169" t="s">
        <v>1318</v>
      </c>
      <c r="K169" t="s">
        <v>1152</v>
      </c>
      <c r="L169" t="s">
        <v>851</v>
      </c>
      <c r="M169" t="s">
        <v>371</v>
      </c>
      <c r="N169" t="s">
        <v>454</v>
      </c>
      <c r="O169" t="s">
        <v>400</v>
      </c>
      <c r="P169" t="s">
        <v>851</v>
      </c>
      <c r="Q169" t="s">
        <v>1319</v>
      </c>
      <c r="R169" t="s">
        <v>764</v>
      </c>
      <c r="S169" t="s">
        <v>1320</v>
      </c>
      <c r="T169" t="s">
        <v>1321</v>
      </c>
      <c r="U169" t="s">
        <v>1322</v>
      </c>
      <c r="V169" t="s">
        <v>339</v>
      </c>
      <c r="W169" t="s">
        <v>313</v>
      </c>
      <c r="X169" t="s">
        <v>313</v>
      </c>
      <c r="Y169" t="s">
        <v>313</v>
      </c>
      <c r="Z169" t="s">
        <v>313</v>
      </c>
      <c r="AA169" t="s">
        <v>313</v>
      </c>
      <c r="AB169" t="s">
        <v>313</v>
      </c>
      <c r="AC169">
        <v>0</v>
      </c>
    </row>
    <row r="170" spans="4:29" x14ac:dyDescent="0.25">
      <c r="D170" t="s">
        <v>164</v>
      </c>
      <c r="E170" t="s">
        <v>369</v>
      </c>
      <c r="F170" t="s">
        <v>2014</v>
      </c>
      <c r="G170">
        <v>600628</v>
      </c>
      <c r="H170" t="s">
        <v>370</v>
      </c>
      <c r="I170" t="s">
        <v>558</v>
      </c>
      <c r="J170" t="s">
        <v>562</v>
      </c>
      <c r="K170" t="s">
        <v>1323</v>
      </c>
      <c r="L170" t="s">
        <v>624</v>
      </c>
      <c r="M170" t="s">
        <v>445</v>
      </c>
      <c r="N170" t="s">
        <v>565</v>
      </c>
      <c r="O170" t="s">
        <v>566</v>
      </c>
      <c r="P170" t="s">
        <v>558</v>
      </c>
      <c r="Q170" t="s">
        <v>309</v>
      </c>
      <c r="R170" t="s">
        <v>558</v>
      </c>
      <c r="S170" t="s">
        <v>558</v>
      </c>
      <c r="T170" t="s">
        <v>1324</v>
      </c>
      <c r="U170" t="s">
        <v>1325</v>
      </c>
      <c r="V170" t="s">
        <v>458</v>
      </c>
      <c r="W170" t="s">
        <v>313</v>
      </c>
      <c r="X170" t="s">
        <v>313</v>
      </c>
      <c r="Y170" t="s">
        <v>313</v>
      </c>
      <c r="Z170" t="s">
        <v>313</v>
      </c>
      <c r="AA170" t="s">
        <v>313</v>
      </c>
      <c r="AB170" t="s">
        <v>313</v>
      </c>
      <c r="AC170">
        <v>0</v>
      </c>
    </row>
    <row r="171" spans="4:29" x14ac:dyDescent="0.25">
      <c r="D171" t="s">
        <v>165</v>
      </c>
      <c r="E171" t="s">
        <v>315</v>
      </c>
      <c r="F171" t="s">
        <v>2015</v>
      </c>
      <c r="G171">
        <v>1219</v>
      </c>
      <c r="H171" t="s">
        <v>561</v>
      </c>
      <c r="I171" t="s">
        <v>346</v>
      </c>
      <c r="J171" t="s">
        <v>1326</v>
      </c>
      <c r="K171" t="s">
        <v>945</v>
      </c>
      <c r="L171" t="s">
        <v>309</v>
      </c>
      <c r="M171" t="s">
        <v>455</v>
      </c>
      <c r="N171" t="s">
        <v>527</v>
      </c>
      <c r="O171" t="s">
        <v>309</v>
      </c>
      <c r="P171" t="s">
        <v>556</v>
      </c>
      <c r="Q171" t="s">
        <v>1327</v>
      </c>
      <c r="R171" t="s">
        <v>1070</v>
      </c>
      <c r="S171" t="s">
        <v>1328</v>
      </c>
      <c r="T171" t="s">
        <v>1329</v>
      </c>
      <c r="U171" t="s">
        <v>1330</v>
      </c>
      <c r="V171" t="s">
        <v>477</v>
      </c>
      <c r="W171" t="s">
        <v>313</v>
      </c>
      <c r="X171" t="s">
        <v>313</v>
      </c>
      <c r="Y171" t="s">
        <v>313</v>
      </c>
      <c r="Z171" t="s">
        <v>313</v>
      </c>
      <c r="AA171" t="s">
        <v>313</v>
      </c>
      <c r="AB171" t="s">
        <v>313</v>
      </c>
      <c r="AC171">
        <v>0</v>
      </c>
    </row>
    <row r="172" spans="4:29" x14ac:dyDescent="0.25">
      <c r="D172" t="s">
        <v>166</v>
      </c>
      <c r="E172" t="s">
        <v>369</v>
      </c>
      <c r="F172" t="s">
        <v>1050</v>
      </c>
      <c r="G172">
        <v>929</v>
      </c>
      <c r="H172" t="s">
        <v>911</v>
      </c>
      <c r="I172" t="s">
        <v>342</v>
      </c>
      <c r="J172" t="s">
        <v>1331</v>
      </c>
      <c r="K172" t="s">
        <v>1152</v>
      </c>
      <c r="L172" t="s">
        <v>1332</v>
      </c>
      <c r="M172" t="s">
        <v>825</v>
      </c>
      <c r="N172" t="s">
        <v>454</v>
      </c>
      <c r="O172" t="s">
        <v>565</v>
      </c>
      <c r="P172" t="s">
        <v>342</v>
      </c>
      <c r="Q172" t="s">
        <v>309</v>
      </c>
      <c r="R172" t="s">
        <v>342</v>
      </c>
      <c r="S172" t="s">
        <v>342</v>
      </c>
      <c r="T172" t="s">
        <v>1333</v>
      </c>
      <c r="U172" t="s">
        <v>1334</v>
      </c>
      <c r="V172" t="s">
        <v>545</v>
      </c>
      <c r="W172" t="s">
        <v>313</v>
      </c>
      <c r="X172" t="s">
        <v>313</v>
      </c>
      <c r="Y172" t="s">
        <v>313</v>
      </c>
      <c r="Z172" t="s">
        <v>313</v>
      </c>
      <c r="AA172" t="s">
        <v>309</v>
      </c>
      <c r="AB172" t="s">
        <v>313</v>
      </c>
      <c r="AC172">
        <v>2</v>
      </c>
    </row>
    <row r="173" spans="4:29" x14ac:dyDescent="0.25">
      <c r="D173" t="s">
        <v>167</v>
      </c>
      <c r="E173" t="s">
        <v>340</v>
      </c>
      <c r="F173" t="s">
        <v>1335</v>
      </c>
      <c r="G173">
        <v>143</v>
      </c>
      <c r="H173" t="s">
        <v>351</v>
      </c>
      <c r="I173" t="s">
        <v>309</v>
      </c>
      <c r="J173" t="s">
        <v>309</v>
      </c>
      <c r="K173" t="s">
        <v>495</v>
      </c>
      <c r="L173" t="s">
        <v>1336</v>
      </c>
      <c r="M173" t="s">
        <v>309</v>
      </c>
      <c r="N173" t="s">
        <v>1337</v>
      </c>
      <c r="O173" t="s">
        <v>966</v>
      </c>
      <c r="P173" t="s">
        <v>580</v>
      </c>
      <c r="Q173" t="s">
        <v>1338</v>
      </c>
      <c r="R173" t="s">
        <v>1338</v>
      </c>
      <c r="S173" t="s">
        <v>1339</v>
      </c>
      <c r="T173" t="s">
        <v>1340</v>
      </c>
      <c r="U173" t="s">
        <v>1341</v>
      </c>
      <c r="V173" t="s">
        <v>930</v>
      </c>
      <c r="W173" t="s">
        <v>313</v>
      </c>
      <c r="X173" t="s">
        <v>313</v>
      </c>
      <c r="Y173" t="s">
        <v>313</v>
      </c>
      <c r="Z173" t="s">
        <v>313</v>
      </c>
      <c r="AA173" t="s">
        <v>1342</v>
      </c>
      <c r="AB173" t="s">
        <v>313</v>
      </c>
      <c r="AC173">
        <v>3</v>
      </c>
    </row>
    <row r="174" spans="4:29" x14ac:dyDescent="0.25">
      <c r="D174" t="s">
        <v>168</v>
      </c>
      <c r="E174" t="s">
        <v>1015</v>
      </c>
      <c r="F174" t="s">
        <v>2016</v>
      </c>
      <c r="G174">
        <v>772</v>
      </c>
      <c r="H174" t="s">
        <v>1343</v>
      </c>
      <c r="I174" t="s">
        <v>606</v>
      </c>
      <c r="J174" t="s">
        <v>971</v>
      </c>
      <c r="K174" t="s">
        <v>728</v>
      </c>
      <c r="L174" t="s">
        <v>946</v>
      </c>
      <c r="M174" t="s">
        <v>527</v>
      </c>
      <c r="N174" t="s">
        <v>345</v>
      </c>
      <c r="O174" t="s">
        <v>342</v>
      </c>
      <c r="P174" t="s">
        <v>946</v>
      </c>
      <c r="Q174" t="s">
        <v>1344</v>
      </c>
      <c r="R174" t="s">
        <v>1345</v>
      </c>
      <c r="S174" t="s">
        <v>1346</v>
      </c>
      <c r="T174" t="s">
        <v>1347</v>
      </c>
      <c r="U174" t="s">
        <v>1348</v>
      </c>
      <c r="V174" t="s">
        <v>448</v>
      </c>
      <c r="W174" t="s">
        <v>313</v>
      </c>
      <c r="X174" t="s">
        <v>313</v>
      </c>
      <c r="Y174" t="s">
        <v>313</v>
      </c>
      <c r="Z174" t="s">
        <v>313</v>
      </c>
      <c r="AA174" t="s">
        <v>309</v>
      </c>
      <c r="AB174" t="s">
        <v>313</v>
      </c>
      <c r="AC174">
        <v>1</v>
      </c>
    </row>
    <row r="175" spans="4:29" x14ac:dyDescent="0.25">
      <c r="D175" t="s">
        <v>169</v>
      </c>
      <c r="E175" t="s">
        <v>1015</v>
      </c>
      <c r="F175" t="s">
        <v>2017</v>
      </c>
      <c r="G175">
        <v>47</v>
      </c>
      <c r="H175" t="s">
        <v>1349</v>
      </c>
      <c r="I175" t="s">
        <v>396</v>
      </c>
      <c r="J175" t="s">
        <v>1350</v>
      </c>
      <c r="K175" t="s">
        <v>709</v>
      </c>
      <c r="L175" t="s">
        <v>1351</v>
      </c>
      <c r="M175" t="s">
        <v>491</v>
      </c>
      <c r="N175" t="s">
        <v>1041</v>
      </c>
      <c r="O175" t="s">
        <v>571</v>
      </c>
      <c r="P175" t="s">
        <v>396</v>
      </c>
      <c r="Q175" t="s">
        <v>309</v>
      </c>
      <c r="R175" t="s">
        <v>396</v>
      </c>
      <c r="S175" t="s">
        <v>396</v>
      </c>
      <c r="T175" t="s">
        <v>1352</v>
      </c>
      <c r="U175" t="s">
        <v>1353</v>
      </c>
      <c r="V175" t="s">
        <v>614</v>
      </c>
      <c r="W175" t="s">
        <v>313</v>
      </c>
      <c r="X175" t="s">
        <v>313</v>
      </c>
      <c r="Y175" t="s">
        <v>313</v>
      </c>
      <c r="Z175" t="s">
        <v>313</v>
      </c>
      <c r="AA175" t="s">
        <v>313</v>
      </c>
      <c r="AB175" t="s">
        <v>313</v>
      </c>
      <c r="AC175">
        <v>1</v>
      </c>
    </row>
    <row r="176" spans="4:29" x14ac:dyDescent="0.25">
      <c r="D176" t="s">
        <v>170</v>
      </c>
      <c r="E176" t="s">
        <v>449</v>
      </c>
      <c r="F176" t="s">
        <v>313</v>
      </c>
      <c r="G176" t="s">
        <v>313</v>
      </c>
      <c r="H176" t="s">
        <v>1239</v>
      </c>
      <c r="I176" t="s">
        <v>309</v>
      </c>
      <c r="J176" t="s">
        <v>309</v>
      </c>
      <c r="K176" t="s">
        <v>309</v>
      </c>
      <c r="L176" t="s">
        <v>309</v>
      </c>
      <c r="M176" t="s">
        <v>309</v>
      </c>
      <c r="N176" t="s">
        <v>309</v>
      </c>
      <c r="O176" t="s">
        <v>309</v>
      </c>
      <c r="P176" t="s">
        <v>313</v>
      </c>
      <c r="Q176" t="s">
        <v>309</v>
      </c>
      <c r="R176" t="s">
        <v>309</v>
      </c>
      <c r="S176" t="s">
        <v>309</v>
      </c>
      <c r="T176" t="s">
        <v>1354</v>
      </c>
      <c r="U176" t="s">
        <v>1355</v>
      </c>
      <c r="V176" t="s">
        <v>313</v>
      </c>
      <c r="W176" t="s">
        <v>313</v>
      </c>
      <c r="X176" t="s">
        <v>313</v>
      </c>
      <c r="Y176" t="s">
        <v>313</v>
      </c>
      <c r="Z176" t="s">
        <v>313</v>
      </c>
      <c r="AA176" t="s">
        <v>313</v>
      </c>
      <c r="AB176" t="s">
        <v>313</v>
      </c>
      <c r="AC176">
        <v>0</v>
      </c>
    </row>
    <row r="177" spans="4:29" x14ac:dyDescent="0.25">
      <c r="D177" t="s">
        <v>171</v>
      </c>
      <c r="E177" t="s">
        <v>340</v>
      </c>
      <c r="F177" t="s">
        <v>2018</v>
      </c>
      <c r="G177">
        <v>863</v>
      </c>
      <c r="H177" t="s">
        <v>450</v>
      </c>
      <c r="I177" t="s">
        <v>361</v>
      </c>
      <c r="J177" t="s">
        <v>948</v>
      </c>
      <c r="K177" t="s">
        <v>709</v>
      </c>
      <c r="L177" t="s">
        <v>2019</v>
      </c>
      <c r="M177" t="s">
        <v>308</v>
      </c>
      <c r="N177" t="s">
        <v>1041</v>
      </c>
      <c r="O177" t="s">
        <v>491</v>
      </c>
      <c r="P177" t="s">
        <v>379</v>
      </c>
      <c r="Q177" t="s">
        <v>2020</v>
      </c>
      <c r="R177" t="s">
        <v>2021</v>
      </c>
      <c r="S177" t="s">
        <v>2022</v>
      </c>
      <c r="T177" t="s">
        <v>1357</v>
      </c>
      <c r="U177" t="s">
        <v>1358</v>
      </c>
      <c r="V177" t="s">
        <v>520</v>
      </c>
      <c r="W177" t="s">
        <v>313</v>
      </c>
      <c r="X177" t="s">
        <v>313</v>
      </c>
      <c r="Y177" t="s">
        <v>313</v>
      </c>
      <c r="Z177" t="s">
        <v>313</v>
      </c>
      <c r="AA177" t="s">
        <v>309</v>
      </c>
      <c r="AB177" t="s">
        <v>313</v>
      </c>
      <c r="AC177">
        <v>1</v>
      </c>
    </row>
    <row r="178" spans="4:29" x14ac:dyDescent="0.25">
      <c r="D178" t="s">
        <v>172</v>
      </c>
      <c r="E178" t="s">
        <v>315</v>
      </c>
      <c r="F178" t="s">
        <v>1359</v>
      </c>
      <c r="G178">
        <v>1</v>
      </c>
      <c r="H178" t="s">
        <v>965</v>
      </c>
      <c r="I178" t="s">
        <v>313</v>
      </c>
      <c r="J178" t="s">
        <v>313</v>
      </c>
      <c r="K178" t="s">
        <v>313</v>
      </c>
      <c r="L178" t="s">
        <v>313</v>
      </c>
      <c r="M178" t="s">
        <v>313</v>
      </c>
      <c r="N178" t="s">
        <v>313</v>
      </c>
      <c r="O178" t="s">
        <v>313</v>
      </c>
      <c r="P178" t="s">
        <v>313</v>
      </c>
      <c r="Q178" t="s">
        <v>313</v>
      </c>
      <c r="R178" t="s">
        <v>313</v>
      </c>
      <c r="S178" t="s">
        <v>313</v>
      </c>
      <c r="T178" t="s">
        <v>1360</v>
      </c>
      <c r="U178" t="s">
        <v>1361</v>
      </c>
      <c r="V178" t="s">
        <v>339</v>
      </c>
      <c r="W178" t="s">
        <v>313</v>
      </c>
      <c r="X178" t="s">
        <v>313</v>
      </c>
      <c r="Y178" t="s">
        <v>313</v>
      </c>
      <c r="Z178" t="s">
        <v>313</v>
      </c>
      <c r="AA178" t="s">
        <v>313</v>
      </c>
      <c r="AB178" t="s">
        <v>313</v>
      </c>
      <c r="AC178">
        <v>0</v>
      </c>
    </row>
    <row r="179" spans="4:29" x14ac:dyDescent="0.25">
      <c r="D179" t="s">
        <v>173</v>
      </c>
      <c r="E179" t="s">
        <v>315</v>
      </c>
      <c r="F179" t="s">
        <v>2023</v>
      </c>
      <c r="G179">
        <v>1571</v>
      </c>
      <c r="H179" t="s">
        <v>1362</v>
      </c>
      <c r="I179" t="s">
        <v>533</v>
      </c>
      <c r="J179" t="s">
        <v>623</v>
      </c>
      <c r="K179" t="s">
        <v>747</v>
      </c>
      <c r="L179" t="s">
        <v>1363</v>
      </c>
      <c r="M179" t="s">
        <v>533</v>
      </c>
      <c r="N179" t="s">
        <v>401</v>
      </c>
      <c r="O179" t="s">
        <v>772</v>
      </c>
      <c r="P179" t="s">
        <v>1363</v>
      </c>
      <c r="Q179" t="s">
        <v>1364</v>
      </c>
      <c r="R179" t="s">
        <v>534</v>
      </c>
      <c r="S179" t="s">
        <v>1365</v>
      </c>
      <c r="T179" t="s">
        <v>1366</v>
      </c>
      <c r="U179" t="s">
        <v>1367</v>
      </c>
      <c r="V179" t="s">
        <v>312</v>
      </c>
      <c r="W179" t="s">
        <v>313</v>
      </c>
      <c r="X179" t="s">
        <v>313</v>
      </c>
      <c r="Y179" t="s">
        <v>313</v>
      </c>
      <c r="Z179" t="s">
        <v>313</v>
      </c>
      <c r="AA179" t="s">
        <v>313</v>
      </c>
      <c r="AB179" t="s">
        <v>313</v>
      </c>
      <c r="AC179">
        <v>0</v>
      </c>
    </row>
    <row r="180" spans="4:29" x14ac:dyDescent="0.25">
      <c r="D180" t="s">
        <v>174</v>
      </c>
      <c r="E180" t="s">
        <v>315</v>
      </c>
      <c r="F180" t="s">
        <v>2024</v>
      </c>
      <c r="G180">
        <v>4774</v>
      </c>
      <c r="H180" t="s">
        <v>407</v>
      </c>
      <c r="I180" t="s">
        <v>1004</v>
      </c>
      <c r="J180" t="s">
        <v>1368</v>
      </c>
      <c r="K180" t="s">
        <v>1369</v>
      </c>
      <c r="L180" t="s">
        <v>1370</v>
      </c>
      <c r="M180" t="s">
        <v>413</v>
      </c>
      <c r="N180" t="s">
        <v>1000</v>
      </c>
      <c r="O180" t="s">
        <v>432</v>
      </c>
      <c r="P180" t="s">
        <v>1004</v>
      </c>
      <c r="Q180" t="s">
        <v>309</v>
      </c>
      <c r="R180" t="s">
        <v>1004</v>
      </c>
      <c r="S180" t="s">
        <v>1004</v>
      </c>
      <c r="T180" t="s">
        <v>1371</v>
      </c>
      <c r="U180" t="s">
        <v>1372</v>
      </c>
      <c r="V180" t="s">
        <v>1313</v>
      </c>
      <c r="W180" t="s">
        <v>313</v>
      </c>
      <c r="X180" t="s">
        <v>313</v>
      </c>
      <c r="Y180" t="s">
        <v>313</v>
      </c>
      <c r="Z180" t="s">
        <v>313</v>
      </c>
      <c r="AA180" t="s">
        <v>313</v>
      </c>
      <c r="AB180" t="s">
        <v>313</v>
      </c>
      <c r="AC180">
        <v>0</v>
      </c>
    </row>
    <row r="181" spans="4:29" x14ac:dyDescent="0.25">
      <c r="D181" t="s">
        <v>175</v>
      </c>
      <c r="E181" t="s">
        <v>449</v>
      </c>
      <c r="F181" t="s">
        <v>2025</v>
      </c>
      <c r="G181">
        <v>2621</v>
      </c>
      <c r="H181" t="s">
        <v>583</v>
      </c>
      <c r="I181" t="s">
        <v>533</v>
      </c>
      <c r="J181" t="s">
        <v>623</v>
      </c>
      <c r="K181" t="s">
        <v>1373</v>
      </c>
      <c r="L181" t="s">
        <v>1374</v>
      </c>
      <c r="M181" t="s">
        <v>533</v>
      </c>
      <c r="N181" t="s">
        <v>565</v>
      </c>
      <c r="O181" t="s">
        <v>342</v>
      </c>
      <c r="P181" t="s">
        <v>1374</v>
      </c>
      <c r="Q181" t="s">
        <v>770</v>
      </c>
      <c r="R181" t="s">
        <v>1375</v>
      </c>
      <c r="S181" t="s">
        <v>1376</v>
      </c>
      <c r="T181" t="s">
        <v>1377</v>
      </c>
      <c r="U181" t="s">
        <v>1378</v>
      </c>
      <c r="V181" t="s">
        <v>1558</v>
      </c>
      <c r="W181" t="s">
        <v>313</v>
      </c>
      <c r="X181" t="s">
        <v>313</v>
      </c>
      <c r="Y181" t="s">
        <v>313</v>
      </c>
      <c r="Z181" t="s">
        <v>313</v>
      </c>
      <c r="AA181" t="s">
        <v>309</v>
      </c>
      <c r="AB181" t="s">
        <v>313</v>
      </c>
      <c r="AC181">
        <v>2</v>
      </c>
    </row>
    <row r="182" spans="4:29" x14ac:dyDescent="0.25">
      <c r="D182" t="s">
        <v>176</v>
      </c>
      <c r="E182" t="s">
        <v>315</v>
      </c>
      <c r="F182" t="s">
        <v>2026</v>
      </c>
      <c r="G182">
        <v>1485</v>
      </c>
      <c r="H182" t="s">
        <v>1379</v>
      </c>
      <c r="I182" t="s">
        <v>510</v>
      </c>
      <c r="J182" t="s">
        <v>1084</v>
      </c>
      <c r="K182" t="s">
        <v>318</v>
      </c>
      <c r="L182" t="s">
        <v>1380</v>
      </c>
      <c r="M182" t="s">
        <v>1381</v>
      </c>
      <c r="N182" t="s">
        <v>320</v>
      </c>
      <c r="O182" t="s">
        <v>558</v>
      </c>
      <c r="P182" t="s">
        <v>1380</v>
      </c>
      <c r="Q182" t="s">
        <v>309</v>
      </c>
      <c r="R182" t="s">
        <v>510</v>
      </c>
      <c r="S182" t="s">
        <v>1186</v>
      </c>
      <c r="T182" t="s">
        <v>1382</v>
      </c>
      <c r="U182" t="s">
        <v>1383</v>
      </c>
      <c r="V182" t="s">
        <v>629</v>
      </c>
      <c r="W182" t="s">
        <v>313</v>
      </c>
      <c r="X182" t="s">
        <v>313</v>
      </c>
      <c r="Y182" t="s">
        <v>313</v>
      </c>
      <c r="Z182" t="s">
        <v>313</v>
      </c>
      <c r="AA182" t="s">
        <v>313</v>
      </c>
      <c r="AB182" t="s">
        <v>313</v>
      </c>
      <c r="AC182">
        <v>0</v>
      </c>
    </row>
    <row r="183" spans="4:29" x14ac:dyDescent="0.25">
      <c r="D183" t="s">
        <v>177</v>
      </c>
      <c r="E183" t="s">
        <v>369</v>
      </c>
      <c r="F183" t="s">
        <v>1819</v>
      </c>
      <c r="G183">
        <v>2</v>
      </c>
      <c r="H183" t="s">
        <v>351</v>
      </c>
      <c r="I183" t="s">
        <v>309</v>
      </c>
      <c r="J183" t="s">
        <v>309</v>
      </c>
      <c r="K183" t="s">
        <v>309</v>
      </c>
      <c r="L183" t="s">
        <v>309</v>
      </c>
      <c r="M183" t="s">
        <v>309</v>
      </c>
      <c r="N183" t="s">
        <v>309</v>
      </c>
      <c r="O183" t="s">
        <v>309</v>
      </c>
      <c r="P183" t="s">
        <v>309</v>
      </c>
      <c r="Q183" t="s">
        <v>1384</v>
      </c>
      <c r="R183" t="s">
        <v>1384</v>
      </c>
      <c r="S183" t="s">
        <v>1339</v>
      </c>
      <c r="T183" t="s">
        <v>1385</v>
      </c>
      <c r="U183" t="s">
        <v>1386</v>
      </c>
      <c r="V183" t="s">
        <v>1387</v>
      </c>
      <c r="W183" t="s">
        <v>313</v>
      </c>
      <c r="X183" t="s">
        <v>313</v>
      </c>
      <c r="Y183" t="s">
        <v>313</v>
      </c>
      <c r="Z183" t="s">
        <v>313</v>
      </c>
      <c r="AA183" t="s">
        <v>313</v>
      </c>
      <c r="AB183" t="s">
        <v>313</v>
      </c>
      <c r="AC183">
        <v>1</v>
      </c>
    </row>
    <row r="184" spans="4:29" x14ac:dyDescent="0.25">
      <c r="D184" t="s">
        <v>178</v>
      </c>
      <c r="E184" t="s">
        <v>340</v>
      </c>
      <c r="F184" t="s">
        <v>2027</v>
      </c>
      <c r="G184">
        <v>3635</v>
      </c>
      <c r="H184" t="s">
        <v>436</v>
      </c>
      <c r="I184" t="s">
        <v>749</v>
      </c>
      <c r="J184" t="s">
        <v>667</v>
      </c>
      <c r="K184" t="s">
        <v>623</v>
      </c>
      <c r="L184" t="s">
        <v>1388</v>
      </c>
      <c r="M184" t="s">
        <v>1389</v>
      </c>
      <c r="N184" t="s">
        <v>1389</v>
      </c>
      <c r="O184" t="s">
        <v>749</v>
      </c>
      <c r="P184" t="s">
        <v>749</v>
      </c>
      <c r="Q184" t="s">
        <v>309</v>
      </c>
      <c r="R184" t="s">
        <v>749</v>
      </c>
      <c r="S184" t="s">
        <v>749</v>
      </c>
      <c r="T184" t="s">
        <v>1390</v>
      </c>
      <c r="U184" t="s">
        <v>1391</v>
      </c>
      <c r="V184" t="s">
        <v>350</v>
      </c>
      <c r="W184" t="s">
        <v>313</v>
      </c>
      <c r="X184" t="s">
        <v>313</v>
      </c>
      <c r="Y184" t="s">
        <v>313</v>
      </c>
      <c r="Z184" t="s">
        <v>313</v>
      </c>
      <c r="AA184" t="s">
        <v>1392</v>
      </c>
      <c r="AB184" t="s">
        <v>1393</v>
      </c>
      <c r="AC184">
        <v>6</v>
      </c>
    </row>
    <row r="185" spans="4:29" x14ac:dyDescent="0.25">
      <c r="D185" t="s">
        <v>179</v>
      </c>
      <c r="E185" t="s">
        <v>369</v>
      </c>
      <c r="F185" t="s">
        <v>2028</v>
      </c>
      <c r="G185">
        <v>7553</v>
      </c>
      <c r="H185" t="s">
        <v>1051</v>
      </c>
      <c r="I185" t="s">
        <v>307</v>
      </c>
      <c r="J185" t="s">
        <v>1394</v>
      </c>
      <c r="K185" t="s">
        <v>1395</v>
      </c>
      <c r="L185" t="s">
        <v>1396</v>
      </c>
      <c r="M185" t="s">
        <v>527</v>
      </c>
      <c r="N185" t="s">
        <v>527</v>
      </c>
      <c r="O185" t="s">
        <v>347</v>
      </c>
      <c r="P185" t="s">
        <v>307</v>
      </c>
      <c r="Q185" t="s">
        <v>309</v>
      </c>
      <c r="R185" t="s">
        <v>307</v>
      </c>
      <c r="S185" t="s">
        <v>307</v>
      </c>
      <c r="T185" t="s">
        <v>1397</v>
      </c>
      <c r="U185" t="s">
        <v>1398</v>
      </c>
      <c r="V185" t="s">
        <v>916</v>
      </c>
      <c r="W185" t="s">
        <v>313</v>
      </c>
      <c r="X185" t="s">
        <v>313</v>
      </c>
      <c r="Y185" t="s">
        <v>313</v>
      </c>
      <c r="Z185" t="s">
        <v>313</v>
      </c>
      <c r="AA185" t="s">
        <v>309</v>
      </c>
      <c r="AB185" t="s">
        <v>309</v>
      </c>
      <c r="AC185">
        <v>4</v>
      </c>
    </row>
    <row r="186" spans="4:29" x14ac:dyDescent="0.25">
      <c r="D186" t="s">
        <v>180</v>
      </c>
      <c r="E186" t="s">
        <v>369</v>
      </c>
      <c r="F186" t="s">
        <v>2029</v>
      </c>
      <c r="G186">
        <v>3742</v>
      </c>
      <c r="H186" t="s">
        <v>1174</v>
      </c>
      <c r="I186" t="s">
        <v>969</v>
      </c>
      <c r="J186" t="s">
        <v>409</v>
      </c>
      <c r="K186" t="s">
        <v>1399</v>
      </c>
      <c r="L186" t="s">
        <v>1400</v>
      </c>
      <c r="M186" t="s">
        <v>412</v>
      </c>
      <c r="N186" t="s">
        <v>756</v>
      </c>
      <c r="O186" t="s">
        <v>822</v>
      </c>
      <c r="P186" t="s">
        <v>969</v>
      </c>
      <c r="Q186" t="s">
        <v>309</v>
      </c>
      <c r="R186" t="s">
        <v>969</v>
      </c>
      <c r="S186" t="s">
        <v>969</v>
      </c>
      <c r="T186" t="s">
        <v>1401</v>
      </c>
      <c r="U186" t="s">
        <v>1402</v>
      </c>
      <c r="V186" t="s">
        <v>614</v>
      </c>
      <c r="W186" t="s">
        <v>313</v>
      </c>
      <c r="X186" t="s">
        <v>313</v>
      </c>
      <c r="Y186" t="s">
        <v>313</v>
      </c>
      <c r="Z186" t="s">
        <v>313</v>
      </c>
      <c r="AA186" t="s">
        <v>313</v>
      </c>
      <c r="AB186" t="s">
        <v>313</v>
      </c>
      <c r="AC186">
        <v>0</v>
      </c>
    </row>
    <row r="187" spans="4:29" x14ac:dyDescent="0.25">
      <c r="D187" t="s">
        <v>181</v>
      </c>
      <c r="E187" t="s">
        <v>356</v>
      </c>
      <c r="F187" t="s">
        <v>1821</v>
      </c>
      <c r="G187">
        <v>2374</v>
      </c>
      <c r="H187" t="s">
        <v>1403</v>
      </c>
      <c r="I187" t="s">
        <v>303</v>
      </c>
      <c r="J187" t="s">
        <v>511</v>
      </c>
      <c r="K187" t="s">
        <v>1404</v>
      </c>
      <c r="L187" t="s">
        <v>309</v>
      </c>
      <c r="M187" t="s">
        <v>844</v>
      </c>
      <c r="N187" t="s">
        <v>533</v>
      </c>
      <c r="O187" t="s">
        <v>309</v>
      </c>
      <c r="P187" t="s">
        <v>303</v>
      </c>
      <c r="Q187" t="s">
        <v>309</v>
      </c>
      <c r="R187" t="s">
        <v>303</v>
      </c>
      <c r="S187" t="s">
        <v>303</v>
      </c>
      <c r="T187" t="s">
        <v>1405</v>
      </c>
      <c r="U187" t="s">
        <v>1406</v>
      </c>
      <c r="V187" t="s">
        <v>916</v>
      </c>
      <c r="W187" t="s">
        <v>313</v>
      </c>
      <c r="X187" t="s">
        <v>313</v>
      </c>
      <c r="Y187" t="s">
        <v>313</v>
      </c>
      <c r="Z187" t="s">
        <v>313</v>
      </c>
      <c r="AA187" t="s">
        <v>1407</v>
      </c>
      <c r="AB187" t="s">
        <v>313</v>
      </c>
      <c r="AC187">
        <v>1</v>
      </c>
    </row>
    <row r="188" spans="4:29" x14ac:dyDescent="0.25">
      <c r="D188" t="s">
        <v>182</v>
      </c>
      <c r="E188" t="s">
        <v>315</v>
      </c>
      <c r="F188" t="s">
        <v>2030</v>
      </c>
      <c r="G188">
        <v>241</v>
      </c>
      <c r="H188" t="s">
        <v>939</v>
      </c>
      <c r="I188" t="s">
        <v>1408</v>
      </c>
      <c r="J188" t="s">
        <v>921</v>
      </c>
      <c r="K188" t="s">
        <v>617</v>
      </c>
      <c r="L188" t="s">
        <v>321</v>
      </c>
      <c r="M188" t="s">
        <v>379</v>
      </c>
      <c r="N188" t="s">
        <v>345</v>
      </c>
      <c r="O188" t="s">
        <v>465</v>
      </c>
      <c r="P188" t="s">
        <v>1408</v>
      </c>
      <c r="Q188" t="s">
        <v>309</v>
      </c>
      <c r="R188" t="s">
        <v>1408</v>
      </c>
      <c r="S188" t="s">
        <v>1408</v>
      </c>
      <c r="T188" t="s">
        <v>1409</v>
      </c>
      <c r="U188" t="s">
        <v>1410</v>
      </c>
      <c r="V188" t="s">
        <v>545</v>
      </c>
      <c r="W188" t="s">
        <v>313</v>
      </c>
      <c r="X188" t="s">
        <v>313</v>
      </c>
      <c r="Y188" t="s">
        <v>313</v>
      </c>
      <c r="Z188" t="s">
        <v>313</v>
      </c>
      <c r="AA188" t="s">
        <v>313</v>
      </c>
      <c r="AB188" t="s">
        <v>313</v>
      </c>
      <c r="AC188">
        <v>0</v>
      </c>
    </row>
    <row r="189" spans="4:29" x14ac:dyDescent="0.25">
      <c r="D189" t="s">
        <v>183</v>
      </c>
      <c r="E189" t="s">
        <v>315</v>
      </c>
      <c r="F189" t="s">
        <v>2031</v>
      </c>
      <c r="G189">
        <v>18978</v>
      </c>
      <c r="H189" t="s">
        <v>1411</v>
      </c>
      <c r="I189" t="s">
        <v>379</v>
      </c>
      <c r="J189" t="s">
        <v>1412</v>
      </c>
      <c r="K189" t="s">
        <v>1413</v>
      </c>
      <c r="L189" t="s">
        <v>1414</v>
      </c>
      <c r="M189" t="s">
        <v>1004</v>
      </c>
      <c r="N189" t="s">
        <v>707</v>
      </c>
      <c r="O189" t="s">
        <v>329</v>
      </c>
      <c r="P189" t="s">
        <v>379</v>
      </c>
      <c r="Q189" t="s">
        <v>309</v>
      </c>
      <c r="R189" t="s">
        <v>379</v>
      </c>
      <c r="S189" t="s">
        <v>379</v>
      </c>
      <c r="T189" t="s">
        <v>1415</v>
      </c>
      <c r="U189" t="s">
        <v>1406</v>
      </c>
      <c r="V189" t="s">
        <v>614</v>
      </c>
      <c r="W189" t="s">
        <v>313</v>
      </c>
      <c r="X189" t="s">
        <v>313</v>
      </c>
      <c r="Y189" t="s">
        <v>313</v>
      </c>
      <c r="Z189" t="s">
        <v>313</v>
      </c>
      <c r="AA189" t="s">
        <v>313</v>
      </c>
      <c r="AB189" t="s">
        <v>313</v>
      </c>
      <c r="AC189">
        <v>0</v>
      </c>
    </row>
    <row r="190" spans="4:29" x14ac:dyDescent="0.25">
      <c r="D190" t="s">
        <v>184</v>
      </c>
      <c r="E190" t="s">
        <v>356</v>
      </c>
      <c r="F190" t="s">
        <v>2032</v>
      </c>
      <c r="G190">
        <v>124</v>
      </c>
      <c r="H190" t="s">
        <v>1416</v>
      </c>
      <c r="I190" t="s">
        <v>635</v>
      </c>
      <c r="J190" t="s">
        <v>1083</v>
      </c>
      <c r="K190" t="s">
        <v>1147</v>
      </c>
      <c r="L190" t="s">
        <v>382</v>
      </c>
      <c r="M190" t="s">
        <v>549</v>
      </c>
      <c r="N190" t="s">
        <v>580</v>
      </c>
      <c r="O190" t="s">
        <v>807</v>
      </c>
      <c r="P190" t="s">
        <v>635</v>
      </c>
      <c r="Q190" t="s">
        <v>309</v>
      </c>
      <c r="R190" t="s">
        <v>635</v>
      </c>
      <c r="S190" t="s">
        <v>635</v>
      </c>
      <c r="T190" t="s">
        <v>1417</v>
      </c>
      <c r="U190" t="s">
        <v>1418</v>
      </c>
      <c r="V190" t="s">
        <v>416</v>
      </c>
      <c r="W190" t="s">
        <v>313</v>
      </c>
      <c r="X190" t="s">
        <v>313</v>
      </c>
      <c r="Y190" t="s">
        <v>313</v>
      </c>
      <c r="Z190" t="s">
        <v>313</v>
      </c>
      <c r="AA190" t="s">
        <v>309</v>
      </c>
      <c r="AB190" t="s">
        <v>313</v>
      </c>
      <c r="AC190">
        <v>1</v>
      </c>
    </row>
    <row r="191" spans="4:29" x14ac:dyDescent="0.25">
      <c r="D191" t="s">
        <v>185</v>
      </c>
      <c r="E191" t="s">
        <v>301</v>
      </c>
      <c r="F191" t="s">
        <v>2033</v>
      </c>
      <c r="G191">
        <v>36</v>
      </c>
      <c r="H191" t="s">
        <v>1419</v>
      </c>
      <c r="I191" t="s">
        <v>1183</v>
      </c>
      <c r="J191" t="s">
        <v>599</v>
      </c>
      <c r="K191" t="s">
        <v>1177</v>
      </c>
      <c r="L191" t="s">
        <v>1420</v>
      </c>
      <c r="M191" t="s">
        <v>606</v>
      </c>
      <c r="N191" t="s">
        <v>358</v>
      </c>
      <c r="O191" t="s">
        <v>1389</v>
      </c>
      <c r="P191" t="s">
        <v>1420</v>
      </c>
      <c r="Q191" t="s">
        <v>1421</v>
      </c>
      <c r="R191" t="s">
        <v>334</v>
      </c>
      <c r="S191" t="s">
        <v>1422</v>
      </c>
      <c r="T191" t="s">
        <v>1423</v>
      </c>
      <c r="U191" t="s">
        <v>1424</v>
      </c>
      <c r="V191" t="s">
        <v>2034</v>
      </c>
      <c r="W191" t="s">
        <v>313</v>
      </c>
      <c r="X191" t="s">
        <v>313</v>
      </c>
      <c r="Y191" t="s">
        <v>313</v>
      </c>
      <c r="Z191" t="s">
        <v>313</v>
      </c>
      <c r="AA191" t="s">
        <v>1001</v>
      </c>
      <c r="AB191" t="s">
        <v>313</v>
      </c>
      <c r="AC191">
        <v>1</v>
      </c>
    </row>
    <row r="192" spans="4:29" x14ac:dyDescent="0.25">
      <c r="D192" t="s">
        <v>186</v>
      </c>
      <c r="E192" t="s">
        <v>340</v>
      </c>
      <c r="F192" t="s">
        <v>1822</v>
      </c>
      <c r="G192">
        <v>42</v>
      </c>
      <c r="H192" t="s">
        <v>1425</v>
      </c>
      <c r="I192" t="s">
        <v>1426</v>
      </c>
      <c r="J192" t="s">
        <v>1427</v>
      </c>
      <c r="K192" t="s">
        <v>1331</v>
      </c>
      <c r="L192" t="s">
        <v>1428</v>
      </c>
      <c r="M192" t="s">
        <v>491</v>
      </c>
      <c r="N192" t="s">
        <v>1182</v>
      </c>
      <c r="O192" t="s">
        <v>513</v>
      </c>
      <c r="P192" t="s">
        <v>1429</v>
      </c>
      <c r="Q192" t="s">
        <v>1430</v>
      </c>
      <c r="R192" t="s">
        <v>1431</v>
      </c>
      <c r="S192" t="s">
        <v>1432</v>
      </c>
      <c r="T192" t="s">
        <v>1433</v>
      </c>
      <c r="U192" t="s">
        <v>1434</v>
      </c>
      <c r="V192" t="s">
        <v>1435</v>
      </c>
      <c r="W192" t="s">
        <v>313</v>
      </c>
      <c r="X192" t="s">
        <v>313</v>
      </c>
      <c r="Y192" t="s">
        <v>313</v>
      </c>
      <c r="Z192" t="s">
        <v>313</v>
      </c>
      <c r="AA192" t="s">
        <v>1436</v>
      </c>
      <c r="AB192" t="s">
        <v>313</v>
      </c>
      <c r="AC192">
        <v>2</v>
      </c>
    </row>
    <row r="193" spans="4:29" x14ac:dyDescent="0.25">
      <c r="D193" t="s">
        <v>187</v>
      </c>
      <c r="E193" t="s">
        <v>340</v>
      </c>
      <c r="F193" t="s">
        <v>2035</v>
      </c>
      <c r="G193">
        <v>36433</v>
      </c>
      <c r="H193" t="s">
        <v>1118</v>
      </c>
      <c r="I193" t="s">
        <v>358</v>
      </c>
      <c r="J193" t="s">
        <v>1437</v>
      </c>
      <c r="K193" t="s">
        <v>921</v>
      </c>
      <c r="L193" t="s">
        <v>1438</v>
      </c>
      <c r="M193" t="s">
        <v>636</v>
      </c>
      <c r="N193" t="s">
        <v>636</v>
      </c>
      <c r="O193" t="s">
        <v>807</v>
      </c>
      <c r="P193" t="s">
        <v>1438</v>
      </c>
      <c r="Q193" t="s">
        <v>1439</v>
      </c>
      <c r="R193" t="s">
        <v>1440</v>
      </c>
      <c r="S193" t="s">
        <v>1441</v>
      </c>
      <c r="T193" t="s">
        <v>1442</v>
      </c>
      <c r="U193" t="s">
        <v>1443</v>
      </c>
      <c r="V193" t="s">
        <v>602</v>
      </c>
      <c r="W193" t="s">
        <v>313</v>
      </c>
      <c r="X193" t="s">
        <v>313</v>
      </c>
      <c r="Y193" t="s">
        <v>313</v>
      </c>
      <c r="Z193" t="s">
        <v>313</v>
      </c>
      <c r="AA193" t="s">
        <v>1444</v>
      </c>
      <c r="AB193" t="s">
        <v>313</v>
      </c>
      <c r="AC193">
        <v>4</v>
      </c>
    </row>
    <row r="194" spans="4:29" x14ac:dyDescent="0.25">
      <c r="D194" t="s">
        <v>188</v>
      </c>
      <c r="E194" t="s">
        <v>449</v>
      </c>
      <c r="F194" t="s">
        <v>2036</v>
      </c>
      <c r="G194">
        <v>8118</v>
      </c>
      <c r="H194" t="s">
        <v>1416</v>
      </c>
      <c r="I194" t="s">
        <v>473</v>
      </c>
      <c r="J194" t="s">
        <v>1445</v>
      </c>
      <c r="K194" t="s">
        <v>1446</v>
      </c>
      <c r="L194" t="s">
        <v>1447</v>
      </c>
      <c r="M194" t="s">
        <v>307</v>
      </c>
      <c r="N194" t="s">
        <v>473</v>
      </c>
      <c r="O194" t="s">
        <v>473</v>
      </c>
      <c r="P194" t="s">
        <v>1447</v>
      </c>
      <c r="Q194" t="s">
        <v>772</v>
      </c>
      <c r="R194" t="s">
        <v>674</v>
      </c>
      <c r="S194" t="s">
        <v>1445</v>
      </c>
      <c r="T194" t="s">
        <v>1448</v>
      </c>
      <c r="U194" t="s">
        <v>1449</v>
      </c>
      <c r="V194" t="s">
        <v>520</v>
      </c>
      <c r="W194" t="s">
        <v>313</v>
      </c>
      <c r="X194" t="s">
        <v>313</v>
      </c>
      <c r="Y194" t="s">
        <v>313</v>
      </c>
      <c r="Z194" t="s">
        <v>313</v>
      </c>
      <c r="AA194" t="s">
        <v>313</v>
      </c>
      <c r="AB194" t="s">
        <v>313</v>
      </c>
      <c r="AC194">
        <v>12</v>
      </c>
    </row>
    <row r="195" spans="4:29" x14ac:dyDescent="0.25">
      <c r="D195" t="s">
        <v>189</v>
      </c>
      <c r="E195" t="s">
        <v>369</v>
      </c>
      <c r="F195" t="s">
        <v>2037</v>
      </c>
      <c r="G195">
        <v>1124</v>
      </c>
      <c r="H195" t="s">
        <v>1450</v>
      </c>
      <c r="I195" t="s">
        <v>1451</v>
      </c>
      <c r="J195" t="s">
        <v>922</v>
      </c>
      <c r="K195" t="s">
        <v>1452</v>
      </c>
      <c r="L195" t="s">
        <v>309</v>
      </c>
      <c r="M195" t="s">
        <v>1453</v>
      </c>
      <c r="N195" t="s">
        <v>667</v>
      </c>
      <c r="O195" t="s">
        <v>309</v>
      </c>
      <c r="P195" t="s">
        <v>1451</v>
      </c>
      <c r="Q195" t="s">
        <v>309</v>
      </c>
      <c r="R195" t="s">
        <v>1451</v>
      </c>
      <c r="S195" t="s">
        <v>1451</v>
      </c>
      <c r="T195" t="s">
        <v>1454</v>
      </c>
      <c r="U195" t="s">
        <v>1455</v>
      </c>
      <c r="V195" t="s">
        <v>405</v>
      </c>
      <c r="W195" t="s">
        <v>313</v>
      </c>
      <c r="X195" t="s">
        <v>313</v>
      </c>
      <c r="Y195" t="s">
        <v>313</v>
      </c>
      <c r="Z195" t="s">
        <v>313</v>
      </c>
      <c r="AA195" t="s">
        <v>313</v>
      </c>
      <c r="AB195" t="s">
        <v>313</v>
      </c>
      <c r="AC195">
        <v>0</v>
      </c>
    </row>
    <row r="196" spans="4:29" x14ac:dyDescent="0.25">
      <c r="D196" t="s">
        <v>190</v>
      </c>
      <c r="E196" t="s">
        <v>315</v>
      </c>
      <c r="F196" t="s">
        <v>1969</v>
      </c>
      <c r="G196">
        <v>2</v>
      </c>
      <c r="H196" t="s">
        <v>1071</v>
      </c>
      <c r="I196" t="s">
        <v>307</v>
      </c>
      <c r="J196" t="s">
        <v>1034</v>
      </c>
      <c r="K196" t="s">
        <v>1456</v>
      </c>
      <c r="L196" t="s">
        <v>1227</v>
      </c>
      <c r="M196" t="s">
        <v>474</v>
      </c>
      <c r="N196" t="s">
        <v>358</v>
      </c>
      <c r="O196" t="s">
        <v>358</v>
      </c>
      <c r="P196" t="s">
        <v>307</v>
      </c>
      <c r="Q196" t="s">
        <v>309</v>
      </c>
      <c r="R196" t="s">
        <v>307</v>
      </c>
      <c r="S196" t="s">
        <v>307</v>
      </c>
      <c r="T196" t="s">
        <v>1457</v>
      </c>
      <c r="U196" t="s">
        <v>1458</v>
      </c>
      <c r="V196" t="s">
        <v>416</v>
      </c>
      <c r="W196" t="s">
        <v>313</v>
      </c>
      <c r="X196" t="s">
        <v>313</v>
      </c>
      <c r="Y196" t="s">
        <v>313</v>
      </c>
      <c r="Z196" t="s">
        <v>313</v>
      </c>
      <c r="AA196" t="s">
        <v>313</v>
      </c>
      <c r="AB196" t="s">
        <v>313</v>
      </c>
      <c r="AC196">
        <v>0</v>
      </c>
    </row>
    <row r="197" spans="4:29" x14ac:dyDescent="0.25">
      <c r="D197" t="s">
        <v>191</v>
      </c>
      <c r="E197" t="s">
        <v>340</v>
      </c>
      <c r="F197" t="s">
        <v>2038</v>
      </c>
      <c r="G197">
        <v>3149</v>
      </c>
      <c r="H197" t="s">
        <v>1196</v>
      </c>
      <c r="I197" t="s">
        <v>636</v>
      </c>
      <c r="J197" t="s">
        <v>1459</v>
      </c>
      <c r="K197" t="s">
        <v>1460</v>
      </c>
      <c r="L197" t="s">
        <v>1136</v>
      </c>
      <c r="M197" t="s">
        <v>647</v>
      </c>
      <c r="N197" t="s">
        <v>474</v>
      </c>
      <c r="O197" t="s">
        <v>465</v>
      </c>
      <c r="P197" t="s">
        <v>636</v>
      </c>
      <c r="Q197" t="s">
        <v>309</v>
      </c>
      <c r="R197" t="s">
        <v>636</v>
      </c>
      <c r="S197" t="s">
        <v>636</v>
      </c>
      <c r="T197" t="s">
        <v>1461</v>
      </c>
      <c r="U197" t="s">
        <v>1462</v>
      </c>
      <c r="V197" t="s">
        <v>2039</v>
      </c>
      <c r="W197" t="s">
        <v>313</v>
      </c>
      <c r="X197" t="s">
        <v>313</v>
      </c>
      <c r="Y197" t="s">
        <v>313</v>
      </c>
      <c r="Z197" t="s">
        <v>313</v>
      </c>
      <c r="AA197" t="s">
        <v>1463</v>
      </c>
      <c r="AB197" t="s">
        <v>931</v>
      </c>
      <c r="AC197">
        <v>4</v>
      </c>
    </row>
    <row r="198" spans="4:29" x14ac:dyDescent="0.25">
      <c r="D198" t="s">
        <v>192</v>
      </c>
      <c r="E198" t="s">
        <v>1079</v>
      </c>
      <c r="F198" t="s">
        <v>2040</v>
      </c>
      <c r="G198">
        <v>88</v>
      </c>
      <c r="H198" t="s">
        <v>351</v>
      </c>
      <c r="I198" t="s">
        <v>309</v>
      </c>
      <c r="J198" t="s">
        <v>309</v>
      </c>
      <c r="K198" t="s">
        <v>309</v>
      </c>
      <c r="L198" t="s">
        <v>309</v>
      </c>
      <c r="M198" t="s">
        <v>309</v>
      </c>
      <c r="N198" t="s">
        <v>309</v>
      </c>
      <c r="O198" t="s">
        <v>309</v>
      </c>
      <c r="P198" t="s">
        <v>309</v>
      </c>
      <c r="Q198" t="s">
        <v>309</v>
      </c>
      <c r="R198" t="s">
        <v>309</v>
      </c>
      <c r="S198" t="s">
        <v>309</v>
      </c>
      <c r="T198" t="s">
        <v>1464</v>
      </c>
      <c r="U198" t="s">
        <v>1465</v>
      </c>
      <c r="V198" t="s">
        <v>1893</v>
      </c>
      <c r="W198" t="s">
        <v>313</v>
      </c>
      <c r="X198" t="s">
        <v>313</v>
      </c>
      <c r="Y198" t="s">
        <v>313</v>
      </c>
      <c r="Z198" t="s">
        <v>313</v>
      </c>
      <c r="AA198" t="s">
        <v>313</v>
      </c>
      <c r="AB198" t="s">
        <v>313</v>
      </c>
      <c r="AC198">
        <v>0</v>
      </c>
    </row>
    <row r="199" spans="4:29" x14ac:dyDescent="0.25">
      <c r="D199" t="s">
        <v>193</v>
      </c>
      <c r="E199" t="s">
        <v>449</v>
      </c>
      <c r="F199" t="s">
        <v>2041</v>
      </c>
      <c r="G199">
        <v>4003</v>
      </c>
      <c r="H199" t="s">
        <v>522</v>
      </c>
      <c r="I199" t="s">
        <v>306</v>
      </c>
      <c r="J199" t="s">
        <v>1466</v>
      </c>
      <c r="K199" t="s">
        <v>1467</v>
      </c>
      <c r="L199" t="s">
        <v>1468</v>
      </c>
      <c r="M199" t="s">
        <v>454</v>
      </c>
      <c r="N199" t="s">
        <v>345</v>
      </c>
      <c r="O199" t="s">
        <v>307</v>
      </c>
      <c r="P199" t="s">
        <v>306</v>
      </c>
      <c r="Q199" t="s">
        <v>309</v>
      </c>
      <c r="R199" t="s">
        <v>306</v>
      </c>
      <c r="S199" t="s">
        <v>306</v>
      </c>
      <c r="T199" t="s">
        <v>1469</v>
      </c>
      <c r="U199" t="s">
        <v>1470</v>
      </c>
      <c r="V199" t="s">
        <v>339</v>
      </c>
      <c r="W199" t="s">
        <v>313</v>
      </c>
      <c r="X199" t="s">
        <v>313</v>
      </c>
      <c r="Y199" t="s">
        <v>313</v>
      </c>
      <c r="Z199" t="s">
        <v>313</v>
      </c>
      <c r="AA199" t="s">
        <v>309</v>
      </c>
      <c r="AB199" t="s">
        <v>313</v>
      </c>
      <c r="AC199">
        <v>5</v>
      </c>
    </row>
    <row r="200" spans="4:29" x14ac:dyDescent="0.25">
      <c r="D200" t="s">
        <v>194</v>
      </c>
      <c r="E200" t="s">
        <v>315</v>
      </c>
      <c r="F200" t="s">
        <v>2042</v>
      </c>
      <c r="G200">
        <v>9757</v>
      </c>
      <c r="H200" t="s">
        <v>1471</v>
      </c>
      <c r="I200" t="s">
        <v>766</v>
      </c>
      <c r="J200" t="s">
        <v>1472</v>
      </c>
      <c r="K200" t="s">
        <v>1467</v>
      </c>
      <c r="L200" t="s">
        <v>1473</v>
      </c>
      <c r="M200" t="s">
        <v>565</v>
      </c>
      <c r="N200" t="s">
        <v>345</v>
      </c>
      <c r="O200" t="s">
        <v>473</v>
      </c>
      <c r="P200" t="s">
        <v>766</v>
      </c>
      <c r="Q200" t="s">
        <v>309</v>
      </c>
      <c r="R200" t="s">
        <v>766</v>
      </c>
      <c r="S200" t="s">
        <v>766</v>
      </c>
      <c r="T200" t="s">
        <v>1474</v>
      </c>
      <c r="U200" t="s">
        <v>1475</v>
      </c>
      <c r="V200" t="s">
        <v>1044</v>
      </c>
      <c r="W200" t="s">
        <v>313</v>
      </c>
      <c r="X200" t="s">
        <v>313</v>
      </c>
      <c r="Y200" t="s">
        <v>313</v>
      </c>
      <c r="Z200" t="s">
        <v>313</v>
      </c>
      <c r="AA200" t="s">
        <v>313</v>
      </c>
      <c r="AB200" t="s">
        <v>313</v>
      </c>
      <c r="AC200">
        <v>0</v>
      </c>
    </row>
    <row r="201" spans="4:29" x14ac:dyDescent="0.25">
      <c r="D201" t="s">
        <v>195</v>
      </c>
      <c r="E201" t="s">
        <v>301</v>
      </c>
      <c r="F201" t="s">
        <v>1476</v>
      </c>
      <c r="G201">
        <v>5157</v>
      </c>
      <c r="H201" t="s">
        <v>1477</v>
      </c>
      <c r="I201" t="s">
        <v>361</v>
      </c>
      <c r="J201" t="s">
        <v>1478</v>
      </c>
      <c r="K201" t="s">
        <v>1479</v>
      </c>
      <c r="L201" t="s">
        <v>1480</v>
      </c>
      <c r="M201" t="s">
        <v>596</v>
      </c>
      <c r="N201" t="s">
        <v>749</v>
      </c>
      <c r="O201" t="s">
        <v>706</v>
      </c>
      <c r="P201" t="s">
        <v>1480</v>
      </c>
      <c r="Q201" t="s">
        <v>1481</v>
      </c>
      <c r="R201" t="s">
        <v>1482</v>
      </c>
      <c r="S201" t="s">
        <v>1483</v>
      </c>
      <c r="T201" t="s">
        <v>1484</v>
      </c>
      <c r="U201" t="s">
        <v>1485</v>
      </c>
      <c r="V201" t="s">
        <v>1486</v>
      </c>
      <c r="W201" t="s">
        <v>865</v>
      </c>
      <c r="X201" t="s">
        <v>309</v>
      </c>
      <c r="Y201" t="s">
        <v>865</v>
      </c>
      <c r="Z201" t="s">
        <v>422</v>
      </c>
      <c r="AA201" t="s">
        <v>1487</v>
      </c>
      <c r="AB201" t="s">
        <v>313</v>
      </c>
      <c r="AC201">
        <v>1</v>
      </c>
    </row>
    <row r="202" spans="4:29" x14ac:dyDescent="0.25">
      <c r="D202" t="s">
        <v>196</v>
      </c>
      <c r="E202" t="s">
        <v>315</v>
      </c>
      <c r="F202" t="s">
        <v>2043</v>
      </c>
      <c r="G202">
        <v>2219</v>
      </c>
      <c r="H202" t="s">
        <v>843</v>
      </c>
      <c r="I202" t="s">
        <v>707</v>
      </c>
      <c r="J202" t="s">
        <v>1240</v>
      </c>
      <c r="K202" t="s">
        <v>585</v>
      </c>
      <c r="L202" t="s">
        <v>1488</v>
      </c>
      <c r="M202" t="s">
        <v>1130</v>
      </c>
      <c r="N202" t="s">
        <v>1258</v>
      </c>
      <c r="O202" t="s">
        <v>331</v>
      </c>
      <c r="P202" t="s">
        <v>707</v>
      </c>
      <c r="Q202" t="s">
        <v>309</v>
      </c>
      <c r="R202" t="s">
        <v>707</v>
      </c>
      <c r="S202" t="s">
        <v>707</v>
      </c>
      <c r="T202" t="s">
        <v>1489</v>
      </c>
      <c r="U202" t="s">
        <v>1490</v>
      </c>
      <c r="V202" t="s">
        <v>545</v>
      </c>
      <c r="W202" t="s">
        <v>313</v>
      </c>
      <c r="X202" t="s">
        <v>313</v>
      </c>
      <c r="Y202" t="s">
        <v>313</v>
      </c>
      <c r="Z202" t="s">
        <v>313</v>
      </c>
      <c r="AA202" t="s">
        <v>313</v>
      </c>
      <c r="AB202" t="s">
        <v>313</v>
      </c>
      <c r="AC202">
        <v>0</v>
      </c>
    </row>
    <row r="203" spans="4:29" x14ac:dyDescent="0.25">
      <c r="D203" t="s">
        <v>197</v>
      </c>
      <c r="E203" t="s">
        <v>315</v>
      </c>
      <c r="F203" t="s">
        <v>2044</v>
      </c>
      <c r="G203">
        <v>1674</v>
      </c>
      <c r="H203" t="s">
        <v>407</v>
      </c>
      <c r="I203" t="s">
        <v>707</v>
      </c>
      <c r="J203" t="s">
        <v>1491</v>
      </c>
      <c r="K203" t="s">
        <v>789</v>
      </c>
      <c r="L203" t="s">
        <v>309</v>
      </c>
      <c r="M203" t="s">
        <v>1427</v>
      </c>
      <c r="N203" t="s">
        <v>510</v>
      </c>
      <c r="O203" t="s">
        <v>309</v>
      </c>
      <c r="P203" t="s">
        <v>707</v>
      </c>
      <c r="Q203" t="s">
        <v>309</v>
      </c>
      <c r="R203" t="s">
        <v>707</v>
      </c>
      <c r="S203" t="s">
        <v>707</v>
      </c>
      <c r="T203" t="s">
        <v>1492</v>
      </c>
      <c r="U203" t="s">
        <v>1493</v>
      </c>
      <c r="V203" t="s">
        <v>327</v>
      </c>
      <c r="W203" t="s">
        <v>313</v>
      </c>
      <c r="X203" t="s">
        <v>313</v>
      </c>
      <c r="Y203" t="s">
        <v>313</v>
      </c>
      <c r="Z203" t="s">
        <v>313</v>
      </c>
      <c r="AA203" t="s">
        <v>313</v>
      </c>
      <c r="AB203" t="s">
        <v>313</v>
      </c>
      <c r="AC203">
        <v>0</v>
      </c>
    </row>
    <row r="204" spans="4:29" x14ac:dyDescent="0.25">
      <c r="D204" t="s">
        <v>198</v>
      </c>
      <c r="E204" t="s">
        <v>1079</v>
      </c>
      <c r="F204" t="s">
        <v>1820</v>
      </c>
      <c r="G204">
        <v>424</v>
      </c>
      <c r="H204" t="s">
        <v>351</v>
      </c>
      <c r="I204" t="s">
        <v>309</v>
      </c>
      <c r="J204" t="s">
        <v>309</v>
      </c>
      <c r="K204" t="s">
        <v>309</v>
      </c>
      <c r="L204" t="s">
        <v>309</v>
      </c>
      <c r="M204" t="s">
        <v>309</v>
      </c>
      <c r="N204" t="s">
        <v>309</v>
      </c>
      <c r="O204" t="s">
        <v>309</v>
      </c>
      <c r="P204" t="s">
        <v>309</v>
      </c>
      <c r="Q204" t="s">
        <v>309</v>
      </c>
      <c r="R204" t="s">
        <v>309</v>
      </c>
      <c r="S204" t="s">
        <v>309</v>
      </c>
      <c r="T204" t="s">
        <v>1494</v>
      </c>
      <c r="U204" t="s">
        <v>1495</v>
      </c>
      <c r="V204" t="s">
        <v>350</v>
      </c>
      <c r="W204" t="s">
        <v>313</v>
      </c>
      <c r="X204" t="s">
        <v>313</v>
      </c>
      <c r="Y204" t="s">
        <v>313</v>
      </c>
      <c r="Z204" t="s">
        <v>313</v>
      </c>
      <c r="AA204" t="s">
        <v>313</v>
      </c>
      <c r="AB204" t="s">
        <v>313</v>
      </c>
      <c r="AC204">
        <v>0</v>
      </c>
    </row>
    <row r="205" spans="4:29" x14ac:dyDescent="0.25">
      <c r="D205" t="s">
        <v>199</v>
      </c>
      <c r="E205" t="s">
        <v>356</v>
      </c>
      <c r="F205" t="s">
        <v>1994</v>
      </c>
      <c r="G205">
        <v>2</v>
      </c>
      <c r="H205" t="s">
        <v>911</v>
      </c>
      <c r="I205" t="s">
        <v>371</v>
      </c>
      <c r="J205" t="s">
        <v>1308</v>
      </c>
      <c r="K205" t="s">
        <v>1496</v>
      </c>
      <c r="L205" t="s">
        <v>309</v>
      </c>
      <c r="M205" t="s">
        <v>958</v>
      </c>
      <c r="N205" t="s">
        <v>527</v>
      </c>
      <c r="O205" t="s">
        <v>309</v>
      </c>
      <c r="P205" t="s">
        <v>318</v>
      </c>
      <c r="Q205" t="s">
        <v>332</v>
      </c>
      <c r="R205" t="s">
        <v>1497</v>
      </c>
      <c r="S205" t="s">
        <v>1498</v>
      </c>
      <c r="T205" t="s">
        <v>1499</v>
      </c>
      <c r="U205" t="s">
        <v>1500</v>
      </c>
      <c r="V205" t="s">
        <v>520</v>
      </c>
      <c r="W205" t="s">
        <v>313</v>
      </c>
      <c r="X205" t="s">
        <v>313</v>
      </c>
      <c r="Y205" t="s">
        <v>313</v>
      </c>
      <c r="Z205" t="s">
        <v>313</v>
      </c>
      <c r="AA205" t="s">
        <v>309</v>
      </c>
      <c r="AB205" t="s">
        <v>313</v>
      </c>
      <c r="AC205">
        <v>1</v>
      </c>
    </row>
    <row r="206" spans="4:29" x14ac:dyDescent="0.25">
      <c r="D206" t="s">
        <v>200</v>
      </c>
      <c r="E206" t="s">
        <v>369</v>
      </c>
      <c r="F206" t="s">
        <v>2045</v>
      </c>
      <c r="G206">
        <v>581</v>
      </c>
      <c r="H206" t="s">
        <v>1477</v>
      </c>
      <c r="I206" t="s">
        <v>1426</v>
      </c>
      <c r="J206" t="s">
        <v>379</v>
      </c>
      <c r="K206" t="s">
        <v>1459</v>
      </c>
      <c r="L206" t="s">
        <v>546</v>
      </c>
      <c r="M206" t="s">
        <v>1426</v>
      </c>
      <c r="N206" t="s">
        <v>710</v>
      </c>
      <c r="O206" t="s">
        <v>1501</v>
      </c>
      <c r="P206" t="s">
        <v>1426</v>
      </c>
      <c r="Q206" t="s">
        <v>309</v>
      </c>
      <c r="R206" t="s">
        <v>1426</v>
      </c>
      <c r="S206" t="s">
        <v>1426</v>
      </c>
      <c r="T206" t="s">
        <v>1502</v>
      </c>
      <c r="U206" t="s">
        <v>1503</v>
      </c>
      <c r="V206" t="s">
        <v>2046</v>
      </c>
      <c r="W206" t="s">
        <v>313</v>
      </c>
      <c r="X206" t="s">
        <v>313</v>
      </c>
      <c r="Y206" t="s">
        <v>313</v>
      </c>
      <c r="Z206" t="s">
        <v>313</v>
      </c>
      <c r="AA206" t="s">
        <v>1504</v>
      </c>
      <c r="AB206" t="s">
        <v>313</v>
      </c>
      <c r="AC206">
        <v>4</v>
      </c>
    </row>
    <row r="207" spans="4:29" x14ac:dyDescent="0.25">
      <c r="D207" t="s">
        <v>201</v>
      </c>
      <c r="E207" t="s">
        <v>315</v>
      </c>
      <c r="F207" t="s">
        <v>2047</v>
      </c>
      <c r="G207">
        <v>55327</v>
      </c>
      <c r="H207" t="s">
        <v>341</v>
      </c>
      <c r="I207" t="s">
        <v>527</v>
      </c>
      <c r="J207" t="s">
        <v>546</v>
      </c>
      <c r="K207" t="s">
        <v>1505</v>
      </c>
      <c r="L207" t="s">
        <v>344</v>
      </c>
      <c r="M207" t="s">
        <v>345</v>
      </c>
      <c r="N207" t="s">
        <v>346</v>
      </c>
      <c r="O207" t="s">
        <v>347</v>
      </c>
      <c r="P207" t="s">
        <v>344</v>
      </c>
      <c r="Q207" t="s">
        <v>1506</v>
      </c>
      <c r="R207" t="s">
        <v>1507</v>
      </c>
      <c r="S207" t="s">
        <v>1508</v>
      </c>
      <c r="T207" t="s">
        <v>1509</v>
      </c>
      <c r="U207" t="s">
        <v>1510</v>
      </c>
      <c r="V207" t="s">
        <v>520</v>
      </c>
      <c r="W207" t="s">
        <v>313</v>
      </c>
      <c r="X207" t="s">
        <v>313</v>
      </c>
      <c r="Y207" t="s">
        <v>313</v>
      </c>
      <c r="Z207" t="s">
        <v>313</v>
      </c>
      <c r="AA207" t="s">
        <v>313</v>
      </c>
      <c r="AB207" t="s">
        <v>313</v>
      </c>
      <c r="AC207">
        <v>0</v>
      </c>
    </row>
    <row r="208" spans="4:29" x14ac:dyDescent="0.25">
      <c r="D208" t="s">
        <v>202</v>
      </c>
      <c r="E208" t="s">
        <v>356</v>
      </c>
      <c r="F208" t="s">
        <v>2048</v>
      </c>
      <c r="G208">
        <v>5770</v>
      </c>
      <c r="H208" t="s">
        <v>561</v>
      </c>
      <c r="I208" t="s">
        <v>358</v>
      </c>
      <c r="J208" t="s">
        <v>1326</v>
      </c>
      <c r="K208" t="s">
        <v>1302</v>
      </c>
      <c r="L208" t="s">
        <v>1899</v>
      </c>
      <c r="M208" t="s">
        <v>455</v>
      </c>
      <c r="N208" t="s">
        <v>346</v>
      </c>
      <c r="O208" t="s">
        <v>586</v>
      </c>
      <c r="P208" t="s">
        <v>358</v>
      </c>
      <c r="Q208" t="s">
        <v>309</v>
      </c>
      <c r="R208" t="s">
        <v>358</v>
      </c>
      <c r="S208" t="s">
        <v>358</v>
      </c>
      <c r="T208" t="s">
        <v>1513</v>
      </c>
      <c r="U208" t="s">
        <v>457</v>
      </c>
      <c r="V208" t="s">
        <v>964</v>
      </c>
      <c r="W208" t="s">
        <v>313</v>
      </c>
      <c r="X208" t="s">
        <v>313</v>
      </c>
      <c r="Y208" t="s">
        <v>313</v>
      </c>
      <c r="Z208" t="s">
        <v>313</v>
      </c>
      <c r="AA208" t="s">
        <v>309</v>
      </c>
      <c r="AB208" t="s">
        <v>309</v>
      </c>
      <c r="AC208">
        <v>6</v>
      </c>
    </row>
    <row r="209" spans="4:29" x14ac:dyDescent="0.25">
      <c r="D209" t="s">
        <v>203</v>
      </c>
      <c r="E209" t="s">
        <v>449</v>
      </c>
      <c r="F209" t="s">
        <v>2049</v>
      </c>
      <c r="G209">
        <v>16652</v>
      </c>
      <c r="H209" t="s">
        <v>1514</v>
      </c>
      <c r="I209" t="s">
        <v>549</v>
      </c>
      <c r="J209" t="s">
        <v>1038</v>
      </c>
      <c r="K209" t="s">
        <v>921</v>
      </c>
      <c r="L209" t="s">
        <v>1067</v>
      </c>
      <c r="M209" t="s">
        <v>888</v>
      </c>
      <c r="N209" t="s">
        <v>636</v>
      </c>
      <c r="O209" t="s">
        <v>362</v>
      </c>
      <c r="P209" t="s">
        <v>549</v>
      </c>
      <c r="Q209" t="s">
        <v>309</v>
      </c>
      <c r="R209" t="s">
        <v>549</v>
      </c>
      <c r="S209" t="s">
        <v>549</v>
      </c>
      <c r="T209" t="s">
        <v>1515</v>
      </c>
      <c r="U209" t="s">
        <v>1516</v>
      </c>
      <c r="V209" t="s">
        <v>339</v>
      </c>
      <c r="W209" t="s">
        <v>313</v>
      </c>
      <c r="X209" t="s">
        <v>313</v>
      </c>
      <c r="Y209" t="s">
        <v>313</v>
      </c>
      <c r="Z209" t="s">
        <v>313</v>
      </c>
      <c r="AA209" t="s">
        <v>1517</v>
      </c>
      <c r="AB209" t="s">
        <v>1518</v>
      </c>
      <c r="AC209">
        <v>17</v>
      </c>
    </row>
    <row r="210" spans="4:29" x14ac:dyDescent="0.25">
      <c r="D210" t="s">
        <v>204</v>
      </c>
      <c r="E210" t="s">
        <v>315</v>
      </c>
      <c r="F210" t="s">
        <v>2050</v>
      </c>
      <c r="G210">
        <v>30854</v>
      </c>
      <c r="H210" t="s">
        <v>407</v>
      </c>
      <c r="I210" t="s">
        <v>707</v>
      </c>
      <c r="J210" t="s">
        <v>2051</v>
      </c>
      <c r="K210" t="s">
        <v>1262</v>
      </c>
      <c r="L210" t="s">
        <v>2052</v>
      </c>
      <c r="M210" t="s">
        <v>331</v>
      </c>
      <c r="N210" t="s">
        <v>440</v>
      </c>
      <c r="O210" t="s">
        <v>565</v>
      </c>
      <c r="P210" t="s">
        <v>707</v>
      </c>
      <c r="Q210" t="s">
        <v>309</v>
      </c>
      <c r="R210" t="s">
        <v>707</v>
      </c>
      <c r="S210" t="s">
        <v>707</v>
      </c>
      <c r="T210" t="s">
        <v>1519</v>
      </c>
      <c r="U210" t="s">
        <v>1520</v>
      </c>
      <c r="V210" t="s">
        <v>486</v>
      </c>
      <c r="W210" t="s">
        <v>313</v>
      </c>
      <c r="X210" t="s">
        <v>313</v>
      </c>
      <c r="Y210" t="s">
        <v>313</v>
      </c>
      <c r="Z210" t="s">
        <v>313</v>
      </c>
      <c r="AA210" t="s">
        <v>313</v>
      </c>
      <c r="AB210" t="s">
        <v>313</v>
      </c>
      <c r="AC210">
        <v>0</v>
      </c>
    </row>
    <row r="211" spans="4:29" x14ac:dyDescent="0.25">
      <c r="D211" t="s">
        <v>205</v>
      </c>
      <c r="E211" t="s">
        <v>369</v>
      </c>
      <c r="F211" t="s">
        <v>2053</v>
      </c>
      <c r="G211">
        <v>1016</v>
      </c>
      <c r="H211" t="s">
        <v>1521</v>
      </c>
      <c r="I211" t="s">
        <v>361</v>
      </c>
      <c r="J211" t="s">
        <v>1522</v>
      </c>
      <c r="K211" t="s">
        <v>1523</v>
      </c>
      <c r="L211" t="s">
        <v>512</v>
      </c>
      <c r="M211" t="s">
        <v>888</v>
      </c>
      <c r="N211" t="s">
        <v>361</v>
      </c>
      <c r="O211" t="s">
        <v>514</v>
      </c>
      <c r="P211" t="s">
        <v>361</v>
      </c>
      <c r="Q211" t="s">
        <v>309</v>
      </c>
      <c r="R211" t="s">
        <v>361</v>
      </c>
      <c r="S211" t="s">
        <v>361</v>
      </c>
      <c r="T211" t="s">
        <v>1524</v>
      </c>
      <c r="U211" t="s">
        <v>1525</v>
      </c>
      <c r="V211" t="s">
        <v>1558</v>
      </c>
      <c r="W211" t="s">
        <v>313</v>
      </c>
      <c r="X211" t="s">
        <v>313</v>
      </c>
      <c r="Y211" t="s">
        <v>313</v>
      </c>
      <c r="Z211" t="s">
        <v>313</v>
      </c>
      <c r="AA211" t="s">
        <v>313</v>
      </c>
      <c r="AB211" t="s">
        <v>313</v>
      </c>
      <c r="AC211">
        <v>0</v>
      </c>
    </row>
    <row r="212" spans="4:29" x14ac:dyDescent="0.25">
      <c r="D212" t="s">
        <v>206</v>
      </c>
      <c r="E212" t="s">
        <v>315</v>
      </c>
      <c r="F212" t="s">
        <v>2054</v>
      </c>
      <c r="G212">
        <v>3745</v>
      </c>
      <c r="H212" t="s">
        <v>1526</v>
      </c>
      <c r="I212" t="s">
        <v>317</v>
      </c>
      <c r="J212" t="s">
        <v>550</v>
      </c>
      <c r="K212" t="s">
        <v>335</v>
      </c>
      <c r="L212" t="s">
        <v>1527</v>
      </c>
      <c r="M212" t="s">
        <v>650</v>
      </c>
      <c r="N212" t="s">
        <v>440</v>
      </c>
      <c r="O212" t="s">
        <v>766</v>
      </c>
      <c r="P212" t="s">
        <v>1527</v>
      </c>
      <c r="Q212" t="s">
        <v>1437</v>
      </c>
      <c r="R212" t="s">
        <v>1497</v>
      </c>
      <c r="S212" t="s">
        <v>1528</v>
      </c>
      <c r="T212" t="s">
        <v>1529</v>
      </c>
      <c r="U212" t="s">
        <v>1530</v>
      </c>
      <c r="V212" t="s">
        <v>486</v>
      </c>
      <c r="W212" t="s">
        <v>313</v>
      </c>
      <c r="X212" t="s">
        <v>313</v>
      </c>
      <c r="Y212" t="s">
        <v>313</v>
      </c>
      <c r="Z212" t="s">
        <v>313</v>
      </c>
      <c r="AA212" t="s">
        <v>313</v>
      </c>
      <c r="AB212" t="s">
        <v>313</v>
      </c>
      <c r="AC212">
        <v>0</v>
      </c>
    </row>
    <row r="213" spans="4:29" x14ac:dyDescent="0.25">
      <c r="D213" t="s">
        <v>207</v>
      </c>
      <c r="E213" t="s">
        <v>449</v>
      </c>
      <c r="F213" t="s">
        <v>1817</v>
      </c>
      <c r="G213">
        <v>7142</v>
      </c>
      <c r="H213" t="s">
        <v>1531</v>
      </c>
      <c r="I213" t="s">
        <v>306</v>
      </c>
      <c r="J213" t="s">
        <v>912</v>
      </c>
      <c r="K213" t="s">
        <v>1430</v>
      </c>
      <c r="L213" t="s">
        <v>1048</v>
      </c>
      <c r="M213" t="s">
        <v>401</v>
      </c>
      <c r="N213" t="s">
        <v>432</v>
      </c>
      <c r="O213" t="s">
        <v>766</v>
      </c>
      <c r="P213" t="s">
        <v>306</v>
      </c>
      <c r="Q213" t="s">
        <v>309</v>
      </c>
      <c r="R213" t="s">
        <v>306</v>
      </c>
      <c r="S213" t="s">
        <v>306</v>
      </c>
      <c r="T213" t="s">
        <v>1532</v>
      </c>
      <c r="U213" t="s">
        <v>1533</v>
      </c>
      <c r="V213" t="s">
        <v>879</v>
      </c>
      <c r="W213" t="s">
        <v>313</v>
      </c>
      <c r="X213" t="s">
        <v>313</v>
      </c>
      <c r="Y213" t="s">
        <v>313</v>
      </c>
      <c r="Z213" t="s">
        <v>313</v>
      </c>
      <c r="AA213" t="s">
        <v>465</v>
      </c>
      <c r="AB213" t="s">
        <v>313</v>
      </c>
      <c r="AC213">
        <v>72</v>
      </c>
    </row>
    <row r="214" spans="4:29" x14ac:dyDescent="0.25">
      <c r="D214" t="s">
        <v>208</v>
      </c>
      <c r="E214" t="s">
        <v>449</v>
      </c>
      <c r="F214" t="s">
        <v>2055</v>
      </c>
      <c r="G214">
        <v>98</v>
      </c>
      <c r="H214" t="s">
        <v>1534</v>
      </c>
      <c r="I214" t="s">
        <v>399</v>
      </c>
      <c r="J214" t="s">
        <v>844</v>
      </c>
      <c r="K214" t="s">
        <v>1535</v>
      </c>
      <c r="L214" t="s">
        <v>959</v>
      </c>
      <c r="M214" t="s">
        <v>607</v>
      </c>
      <c r="N214" t="s">
        <v>711</v>
      </c>
      <c r="O214" t="s">
        <v>795</v>
      </c>
      <c r="P214" t="s">
        <v>399</v>
      </c>
      <c r="Q214" t="s">
        <v>309</v>
      </c>
      <c r="R214" t="s">
        <v>399</v>
      </c>
      <c r="S214" t="s">
        <v>399</v>
      </c>
      <c r="T214" t="s">
        <v>1536</v>
      </c>
      <c r="U214" t="s">
        <v>1537</v>
      </c>
      <c r="V214" t="s">
        <v>930</v>
      </c>
      <c r="W214" t="s">
        <v>313</v>
      </c>
      <c r="X214" t="s">
        <v>313</v>
      </c>
      <c r="Y214" t="s">
        <v>313</v>
      </c>
      <c r="Z214" t="s">
        <v>313</v>
      </c>
      <c r="AA214" t="s">
        <v>313</v>
      </c>
      <c r="AB214" t="s">
        <v>313</v>
      </c>
      <c r="AC214">
        <v>0</v>
      </c>
    </row>
    <row r="215" spans="4:29" x14ac:dyDescent="0.25">
      <c r="D215" t="s">
        <v>209</v>
      </c>
      <c r="E215" t="s">
        <v>340</v>
      </c>
      <c r="F215" t="s">
        <v>2056</v>
      </c>
      <c r="G215">
        <v>4182</v>
      </c>
      <c r="H215" t="s">
        <v>1113</v>
      </c>
      <c r="I215" t="s">
        <v>1426</v>
      </c>
      <c r="J215" t="s">
        <v>1350</v>
      </c>
      <c r="K215" t="s">
        <v>1243</v>
      </c>
      <c r="L215" t="s">
        <v>2057</v>
      </c>
      <c r="M215" t="s">
        <v>491</v>
      </c>
      <c r="N215" t="s">
        <v>570</v>
      </c>
      <c r="O215" t="s">
        <v>1041</v>
      </c>
      <c r="P215" t="s">
        <v>772</v>
      </c>
      <c r="Q215" t="s">
        <v>1183</v>
      </c>
      <c r="R215" t="s">
        <v>772</v>
      </c>
      <c r="S215" t="s">
        <v>319</v>
      </c>
      <c r="T215" t="s">
        <v>1538</v>
      </c>
      <c r="U215" t="s">
        <v>1539</v>
      </c>
      <c r="V215" t="s">
        <v>1558</v>
      </c>
      <c r="W215" t="s">
        <v>313</v>
      </c>
      <c r="X215" t="s">
        <v>313</v>
      </c>
      <c r="Y215" t="s">
        <v>313</v>
      </c>
      <c r="Z215" t="s">
        <v>313</v>
      </c>
      <c r="AA215" t="s">
        <v>1540</v>
      </c>
      <c r="AB215" t="s">
        <v>313</v>
      </c>
      <c r="AC215">
        <v>10</v>
      </c>
    </row>
    <row r="216" spans="4:29" x14ac:dyDescent="0.25">
      <c r="D216" t="s">
        <v>210</v>
      </c>
      <c r="E216" t="s">
        <v>315</v>
      </c>
      <c r="F216" t="s">
        <v>2058</v>
      </c>
      <c r="G216">
        <v>172</v>
      </c>
      <c r="H216" t="s">
        <v>1118</v>
      </c>
      <c r="I216" t="s">
        <v>558</v>
      </c>
      <c r="J216" t="s">
        <v>1512</v>
      </c>
      <c r="K216" t="s">
        <v>1541</v>
      </c>
      <c r="L216" t="s">
        <v>1542</v>
      </c>
      <c r="M216" t="s">
        <v>371</v>
      </c>
      <c r="N216" t="s">
        <v>566</v>
      </c>
      <c r="O216" t="s">
        <v>400</v>
      </c>
      <c r="P216" t="s">
        <v>558</v>
      </c>
      <c r="Q216" t="s">
        <v>309</v>
      </c>
      <c r="R216" t="s">
        <v>558</v>
      </c>
      <c r="S216" t="s">
        <v>558</v>
      </c>
      <c r="T216" t="s">
        <v>1543</v>
      </c>
      <c r="U216" t="s">
        <v>1544</v>
      </c>
      <c r="V216" t="s">
        <v>448</v>
      </c>
      <c r="W216" t="s">
        <v>313</v>
      </c>
      <c r="X216" t="s">
        <v>313</v>
      </c>
      <c r="Y216" t="s">
        <v>313</v>
      </c>
      <c r="Z216" t="s">
        <v>313</v>
      </c>
      <c r="AA216" t="s">
        <v>313</v>
      </c>
      <c r="AB216" t="s">
        <v>313</v>
      </c>
      <c r="AC216">
        <v>0</v>
      </c>
    </row>
    <row r="217" spans="4:29" x14ac:dyDescent="0.25">
      <c r="D217" t="s">
        <v>211</v>
      </c>
      <c r="E217" t="s">
        <v>315</v>
      </c>
      <c r="F217" t="s">
        <v>1285</v>
      </c>
      <c r="G217">
        <v>73696</v>
      </c>
      <c r="H217" t="s">
        <v>1174</v>
      </c>
      <c r="I217" t="s">
        <v>331</v>
      </c>
      <c r="J217" t="s">
        <v>1147</v>
      </c>
      <c r="K217" t="s">
        <v>1629</v>
      </c>
      <c r="L217" t="s">
        <v>1487</v>
      </c>
      <c r="M217" t="s">
        <v>1150</v>
      </c>
      <c r="N217" t="s">
        <v>413</v>
      </c>
      <c r="O217" t="s">
        <v>1000</v>
      </c>
      <c r="P217" t="s">
        <v>331</v>
      </c>
      <c r="Q217" t="s">
        <v>309</v>
      </c>
      <c r="R217" t="s">
        <v>331</v>
      </c>
      <c r="S217" t="s">
        <v>331</v>
      </c>
      <c r="T217" t="s">
        <v>1545</v>
      </c>
      <c r="U217" t="s">
        <v>1546</v>
      </c>
      <c r="V217" t="s">
        <v>876</v>
      </c>
      <c r="W217" t="s">
        <v>313</v>
      </c>
      <c r="X217" t="s">
        <v>313</v>
      </c>
      <c r="Y217" t="s">
        <v>313</v>
      </c>
      <c r="Z217" t="s">
        <v>313</v>
      </c>
      <c r="AA217" t="s">
        <v>313</v>
      </c>
      <c r="AB217" t="s">
        <v>313</v>
      </c>
      <c r="AC217">
        <v>0</v>
      </c>
    </row>
    <row r="218" spans="4:29" x14ac:dyDescent="0.25">
      <c r="D218" t="s">
        <v>212</v>
      </c>
      <c r="E218" t="s">
        <v>369</v>
      </c>
      <c r="F218" t="s">
        <v>2059</v>
      </c>
      <c r="G218">
        <v>12778</v>
      </c>
      <c r="H218" t="s">
        <v>509</v>
      </c>
      <c r="I218" t="s">
        <v>474</v>
      </c>
      <c r="J218" t="s">
        <v>1023</v>
      </c>
      <c r="K218" t="s">
        <v>1282</v>
      </c>
      <c r="L218" t="s">
        <v>1542</v>
      </c>
      <c r="M218" t="s">
        <v>342</v>
      </c>
      <c r="N218" t="s">
        <v>400</v>
      </c>
      <c r="O218" t="s">
        <v>400</v>
      </c>
      <c r="P218" t="s">
        <v>474</v>
      </c>
      <c r="Q218" t="s">
        <v>309</v>
      </c>
      <c r="R218" t="s">
        <v>474</v>
      </c>
      <c r="S218" t="s">
        <v>474</v>
      </c>
      <c r="T218" t="s">
        <v>1547</v>
      </c>
      <c r="U218" t="s">
        <v>1548</v>
      </c>
      <c r="V218" t="s">
        <v>926</v>
      </c>
      <c r="W218" t="s">
        <v>313</v>
      </c>
      <c r="X218" t="s">
        <v>313</v>
      </c>
      <c r="Y218" t="s">
        <v>313</v>
      </c>
      <c r="Z218" t="s">
        <v>313</v>
      </c>
      <c r="AA218" t="s">
        <v>1550</v>
      </c>
      <c r="AB218" t="s">
        <v>313</v>
      </c>
      <c r="AC218">
        <v>8</v>
      </c>
    </row>
    <row r="219" spans="4:29" x14ac:dyDescent="0.25">
      <c r="D219" t="s">
        <v>213</v>
      </c>
      <c r="E219" t="s">
        <v>449</v>
      </c>
      <c r="F219" t="s">
        <v>2060</v>
      </c>
      <c r="G219">
        <v>13</v>
      </c>
      <c r="H219" t="s">
        <v>1271</v>
      </c>
      <c r="I219" t="s">
        <v>479</v>
      </c>
      <c r="J219" t="s">
        <v>1551</v>
      </c>
      <c r="K219" t="s">
        <v>796</v>
      </c>
      <c r="L219" t="s">
        <v>309</v>
      </c>
      <c r="M219" t="s">
        <v>1000</v>
      </c>
      <c r="N219" t="s">
        <v>444</v>
      </c>
      <c r="O219" t="s">
        <v>309</v>
      </c>
      <c r="P219" t="s">
        <v>344</v>
      </c>
      <c r="Q219" t="s">
        <v>1552</v>
      </c>
      <c r="R219" t="s">
        <v>400</v>
      </c>
      <c r="S219" t="s">
        <v>1553</v>
      </c>
      <c r="T219" t="s">
        <v>1554</v>
      </c>
      <c r="U219" t="s">
        <v>1555</v>
      </c>
      <c r="V219" t="s">
        <v>368</v>
      </c>
      <c r="W219" t="s">
        <v>313</v>
      </c>
      <c r="X219" t="s">
        <v>313</v>
      </c>
      <c r="Y219" t="s">
        <v>313</v>
      </c>
      <c r="Z219" t="s">
        <v>313</v>
      </c>
      <c r="AA219" t="s">
        <v>313</v>
      </c>
      <c r="AB219" t="s">
        <v>313</v>
      </c>
      <c r="AC219">
        <v>0</v>
      </c>
    </row>
    <row r="220" spans="4:29" x14ac:dyDescent="0.25">
      <c r="D220" t="s">
        <v>214</v>
      </c>
      <c r="E220" t="s">
        <v>369</v>
      </c>
      <c r="F220" t="s">
        <v>2061</v>
      </c>
      <c r="G220">
        <v>4092</v>
      </c>
      <c r="H220" t="s">
        <v>800</v>
      </c>
      <c r="I220" t="s">
        <v>454</v>
      </c>
      <c r="J220" t="s">
        <v>1096</v>
      </c>
      <c r="K220" t="s">
        <v>2062</v>
      </c>
      <c r="L220" t="s">
        <v>1104</v>
      </c>
      <c r="M220" t="s">
        <v>822</v>
      </c>
      <c r="N220" t="s">
        <v>444</v>
      </c>
      <c r="O220" t="s">
        <v>454</v>
      </c>
      <c r="P220" t="s">
        <v>454</v>
      </c>
      <c r="Q220" t="s">
        <v>309</v>
      </c>
      <c r="R220" t="s">
        <v>454</v>
      </c>
      <c r="S220" t="s">
        <v>454</v>
      </c>
      <c r="T220" t="s">
        <v>1556</v>
      </c>
      <c r="U220" t="s">
        <v>1557</v>
      </c>
      <c r="V220" t="s">
        <v>1558</v>
      </c>
      <c r="W220" t="s">
        <v>313</v>
      </c>
      <c r="X220" t="s">
        <v>313</v>
      </c>
      <c r="Y220" t="s">
        <v>313</v>
      </c>
      <c r="Z220" t="s">
        <v>313</v>
      </c>
      <c r="AA220" t="s">
        <v>1559</v>
      </c>
      <c r="AB220" t="s">
        <v>1559</v>
      </c>
      <c r="AC220">
        <v>3</v>
      </c>
    </row>
    <row r="221" spans="4:29" x14ac:dyDescent="0.25">
      <c r="D221" t="s">
        <v>215</v>
      </c>
      <c r="E221" t="s">
        <v>315</v>
      </c>
      <c r="F221" t="s">
        <v>2063</v>
      </c>
      <c r="G221">
        <v>4857</v>
      </c>
      <c r="H221" t="s">
        <v>469</v>
      </c>
      <c r="I221" t="s">
        <v>766</v>
      </c>
      <c r="J221" t="s">
        <v>801</v>
      </c>
      <c r="K221" t="s">
        <v>617</v>
      </c>
      <c r="L221" t="s">
        <v>946</v>
      </c>
      <c r="M221" t="s">
        <v>565</v>
      </c>
      <c r="N221" t="s">
        <v>345</v>
      </c>
      <c r="O221" t="s">
        <v>342</v>
      </c>
      <c r="P221" t="s">
        <v>946</v>
      </c>
      <c r="Q221" t="s">
        <v>1560</v>
      </c>
      <c r="R221" t="s">
        <v>1561</v>
      </c>
      <c r="S221" t="s">
        <v>1562</v>
      </c>
      <c r="T221" t="s">
        <v>1563</v>
      </c>
      <c r="U221" t="s">
        <v>1564</v>
      </c>
      <c r="V221" t="s">
        <v>1565</v>
      </c>
      <c r="W221" t="s">
        <v>313</v>
      </c>
      <c r="X221" t="s">
        <v>313</v>
      </c>
      <c r="Y221" t="s">
        <v>313</v>
      </c>
      <c r="Z221" t="s">
        <v>313</v>
      </c>
      <c r="AA221" t="s">
        <v>313</v>
      </c>
      <c r="AB221" t="s">
        <v>313</v>
      </c>
      <c r="AC221">
        <v>0</v>
      </c>
    </row>
    <row r="222" spans="4:29" x14ac:dyDescent="0.25">
      <c r="D222" t="s">
        <v>216</v>
      </c>
      <c r="E222" t="s">
        <v>340</v>
      </c>
      <c r="F222" t="s">
        <v>2064</v>
      </c>
      <c r="G222">
        <v>252</v>
      </c>
      <c r="H222" t="s">
        <v>695</v>
      </c>
      <c r="I222" t="s">
        <v>1000</v>
      </c>
      <c r="J222" t="s">
        <v>1000</v>
      </c>
      <c r="K222" t="s">
        <v>1000</v>
      </c>
      <c r="L222" t="s">
        <v>1000</v>
      </c>
      <c r="M222" t="s">
        <v>710</v>
      </c>
      <c r="N222" t="s">
        <v>865</v>
      </c>
      <c r="O222" t="s">
        <v>1337</v>
      </c>
      <c r="P222" t="s">
        <v>1000</v>
      </c>
      <c r="Q222" t="s">
        <v>309</v>
      </c>
      <c r="R222" t="s">
        <v>1000</v>
      </c>
      <c r="S222" t="s">
        <v>1000</v>
      </c>
      <c r="T222" t="s">
        <v>1566</v>
      </c>
      <c r="U222" t="s">
        <v>1567</v>
      </c>
      <c r="V222" t="s">
        <v>1568</v>
      </c>
      <c r="W222" t="s">
        <v>313</v>
      </c>
      <c r="X222" t="s">
        <v>313</v>
      </c>
      <c r="Y222" t="s">
        <v>313</v>
      </c>
      <c r="Z222" t="s">
        <v>313</v>
      </c>
      <c r="AA222" t="s">
        <v>1569</v>
      </c>
      <c r="AB222" t="s">
        <v>313</v>
      </c>
      <c r="AC222">
        <v>1</v>
      </c>
    </row>
    <row r="223" spans="4:29" x14ac:dyDescent="0.25">
      <c r="D223" t="s">
        <v>217</v>
      </c>
      <c r="E223" t="s">
        <v>315</v>
      </c>
      <c r="F223" t="s">
        <v>2065</v>
      </c>
      <c r="G223">
        <v>31</v>
      </c>
      <c r="H223" t="s">
        <v>1570</v>
      </c>
      <c r="I223" t="s">
        <v>606</v>
      </c>
      <c r="J223" t="s">
        <v>1571</v>
      </c>
      <c r="K223" t="s">
        <v>1147</v>
      </c>
      <c r="L223" t="s">
        <v>811</v>
      </c>
      <c r="M223" t="s">
        <v>549</v>
      </c>
      <c r="N223" t="s">
        <v>580</v>
      </c>
      <c r="O223" t="s">
        <v>807</v>
      </c>
      <c r="P223" t="s">
        <v>606</v>
      </c>
      <c r="Q223" t="s">
        <v>309</v>
      </c>
      <c r="R223" t="s">
        <v>606</v>
      </c>
      <c r="S223" t="s">
        <v>606</v>
      </c>
      <c r="T223" t="s">
        <v>1572</v>
      </c>
      <c r="U223" t="s">
        <v>1573</v>
      </c>
      <c r="V223" t="s">
        <v>828</v>
      </c>
      <c r="W223" t="s">
        <v>313</v>
      </c>
      <c r="X223" t="s">
        <v>313</v>
      </c>
      <c r="Y223" t="s">
        <v>313</v>
      </c>
      <c r="Z223" t="s">
        <v>313</v>
      </c>
      <c r="AA223" t="s">
        <v>313</v>
      </c>
      <c r="AB223" t="s">
        <v>313</v>
      </c>
      <c r="AC223">
        <v>0</v>
      </c>
    </row>
    <row r="224" spans="4:29" x14ac:dyDescent="0.25">
      <c r="D224" t="s">
        <v>218</v>
      </c>
      <c r="E224" t="s">
        <v>340</v>
      </c>
      <c r="F224" t="s">
        <v>2066</v>
      </c>
      <c r="G224">
        <v>2884</v>
      </c>
      <c r="H224" t="s">
        <v>1196</v>
      </c>
      <c r="I224" t="s">
        <v>635</v>
      </c>
      <c r="J224" t="s">
        <v>1574</v>
      </c>
      <c r="K224" t="s">
        <v>1029</v>
      </c>
      <c r="L224" t="s">
        <v>1575</v>
      </c>
      <c r="M224" t="s">
        <v>631</v>
      </c>
      <c r="N224" t="s">
        <v>888</v>
      </c>
      <c r="O224" t="s">
        <v>361</v>
      </c>
      <c r="P224" t="s">
        <v>635</v>
      </c>
      <c r="Q224" t="s">
        <v>309</v>
      </c>
      <c r="R224" t="s">
        <v>635</v>
      </c>
      <c r="S224" t="s">
        <v>635</v>
      </c>
      <c r="T224" t="s">
        <v>1576</v>
      </c>
      <c r="U224" t="s">
        <v>1577</v>
      </c>
      <c r="V224" t="s">
        <v>1944</v>
      </c>
      <c r="W224" t="s">
        <v>313</v>
      </c>
      <c r="X224" t="s">
        <v>313</v>
      </c>
      <c r="Y224" t="s">
        <v>313</v>
      </c>
      <c r="Z224" t="s">
        <v>313</v>
      </c>
      <c r="AA224" t="s">
        <v>1578</v>
      </c>
      <c r="AB224" t="s">
        <v>313</v>
      </c>
      <c r="AC224">
        <v>3</v>
      </c>
    </row>
    <row r="225" spans="4:29" x14ac:dyDescent="0.25">
      <c r="D225" t="s">
        <v>219</v>
      </c>
      <c r="E225" t="s">
        <v>315</v>
      </c>
      <c r="F225" t="s">
        <v>2067</v>
      </c>
      <c r="G225">
        <v>1387</v>
      </c>
      <c r="H225" t="s">
        <v>522</v>
      </c>
      <c r="I225" t="s">
        <v>686</v>
      </c>
      <c r="J225" t="s">
        <v>1523</v>
      </c>
      <c r="K225" t="s">
        <v>318</v>
      </c>
      <c r="L225" t="s">
        <v>1579</v>
      </c>
      <c r="M225" t="s">
        <v>1005</v>
      </c>
      <c r="N225" t="s">
        <v>320</v>
      </c>
      <c r="O225" t="s">
        <v>825</v>
      </c>
      <c r="P225" t="s">
        <v>686</v>
      </c>
      <c r="Q225" t="s">
        <v>309</v>
      </c>
      <c r="R225" t="s">
        <v>686</v>
      </c>
      <c r="S225" t="s">
        <v>686</v>
      </c>
      <c r="T225" t="s">
        <v>1580</v>
      </c>
      <c r="U225" t="s">
        <v>1581</v>
      </c>
      <c r="V225" t="s">
        <v>1313</v>
      </c>
      <c r="W225" t="s">
        <v>313</v>
      </c>
      <c r="X225" t="s">
        <v>313</v>
      </c>
      <c r="Y225" t="s">
        <v>313</v>
      </c>
      <c r="Z225" t="s">
        <v>313</v>
      </c>
      <c r="AA225" t="s">
        <v>313</v>
      </c>
      <c r="AB225" t="s">
        <v>313</v>
      </c>
      <c r="AC225">
        <v>0</v>
      </c>
    </row>
    <row r="226" spans="4:29" x14ac:dyDescent="0.25">
      <c r="D226" t="s">
        <v>220</v>
      </c>
      <c r="E226" t="s">
        <v>315</v>
      </c>
      <c r="F226" t="s">
        <v>2068</v>
      </c>
      <c r="G226">
        <v>5830</v>
      </c>
      <c r="H226" t="s">
        <v>357</v>
      </c>
      <c r="I226" t="s">
        <v>445</v>
      </c>
      <c r="J226" t="s">
        <v>541</v>
      </c>
      <c r="K226" t="s">
        <v>430</v>
      </c>
      <c r="L226" t="s">
        <v>1582</v>
      </c>
      <c r="M226" t="s">
        <v>306</v>
      </c>
      <c r="N226" t="s">
        <v>371</v>
      </c>
      <c r="O226" t="s">
        <v>345</v>
      </c>
      <c r="P226" t="s">
        <v>1582</v>
      </c>
      <c r="Q226" t="s">
        <v>1583</v>
      </c>
      <c r="R226" t="s">
        <v>1261</v>
      </c>
      <c r="S226" t="s">
        <v>1584</v>
      </c>
      <c r="T226" t="s">
        <v>1585</v>
      </c>
      <c r="U226" t="s">
        <v>1586</v>
      </c>
      <c r="V226" t="s">
        <v>879</v>
      </c>
      <c r="W226" t="s">
        <v>313</v>
      </c>
      <c r="X226" t="s">
        <v>313</v>
      </c>
      <c r="Y226" t="s">
        <v>313</v>
      </c>
      <c r="Z226" t="s">
        <v>313</v>
      </c>
      <c r="AA226" t="s">
        <v>313</v>
      </c>
      <c r="AB226" t="s">
        <v>313</v>
      </c>
      <c r="AC226">
        <v>0</v>
      </c>
    </row>
    <row r="227" spans="4:29" x14ac:dyDescent="0.25">
      <c r="D227" t="s">
        <v>221</v>
      </c>
      <c r="E227" t="s">
        <v>315</v>
      </c>
      <c r="F227" t="s">
        <v>2069</v>
      </c>
      <c r="G227">
        <v>181442</v>
      </c>
      <c r="H227" t="s">
        <v>1587</v>
      </c>
      <c r="I227" t="s">
        <v>428</v>
      </c>
      <c r="J227" t="s">
        <v>309</v>
      </c>
      <c r="K227" t="s">
        <v>309</v>
      </c>
      <c r="L227" t="s">
        <v>309</v>
      </c>
      <c r="M227" t="s">
        <v>309</v>
      </c>
      <c r="N227" t="s">
        <v>309</v>
      </c>
      <c r="O227" t="s">
        <v>309</v>
      </c>
      <c r="P227" t="s">
        <v>428</v>
      </c>
      <c r="Q227" t="s">
        <v>309</v>
      </c>
      <c r="R227" t="s">
        <v>428</v>
      </c>
      <c r="S227" t="s">
        <v>428</v>
      </c>
      <c r="T227" t="s">
        <v>1588</v>
      </c>
      <c r="U227" t="s">
        <v>1589</v>
      </c>
      <c r="V227" t="s">
        <v>642</v>
      </c>
      <c r="W227" t="s">
        <v>313</v>
      </c>
      <c r="X227" t="s">
        <v>313</v>
      </c>
      <c r="Y227" t="s">
        <v>313</v>
      </c>
      <c r="Z227" t="s">
        <v>313</v>
      </c>
      <c r="AA227" t="s">
        <v>313</v>
      </c>
      <c r="AB227" t="s">
        <v>313</v>
      </c>
      <c r="AC227">
        <v>0</v>
      </c>
    </row>
    <row r="228" spans="4:29" x14ac:dyDescent="0.25">
      <c r="D228" t="s">
        <v>222</v>
      </c>
      <c r="E228" t="s">
        <v>315</v>
      </c>
      <c r="F228" t="s">
        <v>1546</v>
      </c>
      <c r="G228">
        <v>11115</v>
      </c>
      <c r="H228" t="s">
        <v>691</v>
      </c>
      <c r="I228" t="s">
        <v>966</v>
      </c>
      <c r="J228" t="s">
        <v>1084</v>
      </c>
      <c r="K228" t="s">
        <v>1590</v>
      </c>
      <c r="L228" t="s">
        <v>1591</v>
      </c>
      <c r="M228" t="s">
        <v>1381</v>
      </c>
      <c r="N228" t="s">
        <v>554</v>
      </c>
      <c r="O228" t="s">
        <v>527</v>
      </c>
      <c r="P228" t="s">
        <v>1591</v>
      </c>
      <c r="Q228" t="s">
        <v>1592</v>
      </c>
      <c r="R228" t="s">
        <v>1593</v>
      </c>
      <c r="S228" t="s">
        <v>1594</v>
      </c>
      <c r="T228" t="s">
        <v>1595</v>
      </c>
      <c r="U228" t="s">
        <v>741</v>
      </c>
      <c r="V228" t="s">
        <v>507</v>
      </c>
      <c r="W228" t="s">
        <v>313</v>
      </c>
      <c r="X228" t="s">
        <v>313</v>
      </c>
      <c r="Y228" t="s">
        <v>313</v>
      </c>
      <c r="Z228" t="s">
        <v>313</v>
      </c>
      <c r="AA228" t="s">
        <v>313</v>
      </c>
      <c r="AB228" t="s">
        <v>313</v>
      </c>
      <c r="AC228">
        <v>0</v>
      </c>
    </row>
    <row r="229" spans="4:29" x14ac:dyDescent="0.25">
      <c r="D229" t="s">
        <v>223</v>
      </c>
      <c r="E229" t="s">
        <v>369</v>
      </c>
      <c r="F229" t="s">
        <v>2070</v>
      </c>
      <c r="G229">
        <v>30398</v>
      </c>
      <c r="H229" t="s">
        <v>478</v>
      </c>
      <c r="I229" t="s">
        <v>1004</v>
      </c>
      <c r="J229" t="s">
        <v>1119</v>
      </c>
      <c r="K229" t="s">
        <v>1596</v>
      </c>
      <c r="L229" t="s">
        <v>1597</v>
      </c>
      <c r="M229" t="s">
        <v>392</v>
      </c>
      <c r="N229" t="s">
        <v>402</v>
      </c>
      <c r="O229" t="s">
        <v>401</v>
      </c>
      <c r="P229" t="s">
        <v>1004</v>
      </c>
      <c r="Q229" t="s">
        <v>309</v>
      </c>
      <c r="R229" t="s">
        <v>1004</v>
      </c>
      <c r="S229" t="s">
        <v>1004</v>
      </c>
      <c r="T229" t="s">
        <v>1598</v>
      </c>
      <c r="U229" t="s">
        <v>1599</v>
      </c>
      <c r="V229" t="s">
        <v>507</v>
      </c>
      <c r="W229" t="s">
        <v>313</v>
      </c>
      <c r="X229" t="s">
        <v>313</v>
      </c>
      <c r="Y229" t="s">
        <v>313</v>
      </c>
      <c r="Z229" t="s">
        <v>313</v>
      </c>
      <c r="AA229" t="s">
        <v>313</v>
      </c>
      <c r="AB229" t="s">
        <v>313</v>
      </c>
      <c r="AC229">
        <v>10</v>
      </c>
    </row>
    <row r="230" spans="4:29" x14ac:dyDescent="0.25">
      <c r="D230" t="s">
        <v>224</v>
      </c>
      <c r="E230" t="s">
        <v>315</v>
      </c>
      <c r="F230" t="s">
        <v>2071</v>
      </c>
      <c r="G230">
        <v>5375</v>
      </c>
      <c r="H230" t="s">
        <v>911</v>
      </c>
      <c r="I230" t="s">
        <v>371</v>
      </c>
      <c r="J230" t="s">
        <v>1394</v>
      </c>
      <c r="K230" t="s">
        <v>1600</v>
      </c>
      <c r="L230" t="s">
        <v>1601</v>
      </c>
      <c r="M230" t="s">
        <v>527</v>
      </c>
      <c r="N230" t="s">
        <v>635</v>
      </c>
      <c r="O230" t="s">
        <v>513</v>
      </c>
      <c r="P230" t="s">
        <v>371</v>
      </c>
      <c r="Q230" t="s">
        <v>309</v>
      </c>
      <c r="R230" t="s">
        <v>371</v>
      </c>
      <c r="S230" t="s">
        <v>371</v>
      </c>
      <c r="T230" t="s">
        <v>1602</v>
      </c>
      <c r="U230" t="s">
        <v>1603</v>
      </c>
      <c r="V230" t="s">
        <v>1313</v>
      </c>
      <c r="W230" t="s">
        <v>313</v>
      </c>
      <c r="X230" t="s">
        <v>313</v>
      </c>
      <c r="Y230" t="s">
        <v>313</v>
      </c>
      <c r="Z230" t="s">
        <v>313</v>
      </c>
      <c r="AA230" t="s">
        <v>313</v>
      </c>
      <c r="AB230" t="s">
        <v>313</v>
      </c>
      <c r="AC230">
        <v>0</v>
      </c>
    </row>
    <row r="231" spans="4:29" x14ac:dyDescent="0.25">
      <c r="D231" t="s">
        <v>225</v>
      </c>
      <c r="E231" t="s">
        <v>369</v>
      </c>
      <c r="F231" t="s">
        <v>2072</v>
      </c>
      <c r="G231">
        <v>14775</v>
      </c>
      <c r="H231" t="s">
        <v>576</v>
      </c>
      <c r="I231" t="s">
        <v>454</v>
      </c>
      <c r="J231" t="s">
        <v>1604</v>
      </c>
      <c r="K231" t="s">
        <v>1605</v>
      </c>
      <c r="L231" t="s">
        <v>1606</v>
      </c>
      <c r="M231" t="s">
        <v>306</v>
      </c>
      <c r="N231" t="s">
        <v>772</v>
      </c>
      <c r="O231" t="s">
        <v>400</v>
      </c>
      <c r="P231" t="s">
        <v>454</v>
      </c>
      <c r="Q231" t="s">
        <v>309</v>
      </c>
      <c r="R231" t="s">
        <v>454</v>
      </c>
      <c r="S231" t="s">
        <v>454</v>
      </c>
      <c r="T231" t="s">
        <v>1607</v>
      </c>
      <c r="U231" t="s">
        <v>1608</v>
      </c>
      <c r="V231" t="s">
        <v>1247</v>
      </c>
      <c r="W231" t="s">
        <v>313</v>
      </c>
      <c r="X231" t="s">
        <v>313</v>
      </c>
      <c r="Y231" t="s">
        <v>313</v>
      </c>
      <c r="Z231" t="s">
        <v>313</v>
      </c>
      <c r="AA231" t="s">
        <v>460</v>
      </c>
      <c r="AB231" t="s">
        <v>313</v>
      </c>
      <c r="AC231">
        <v>3</v>
      </c>
    </row>
    <row r="232" spans="4:29" x14ac:dyDescent="0.25">
      <c r="D232" t="s">
        <v>226</v>
      </c>
      <c r="E232" t="s">
        <v>301</v>
      </c>
      <c r="F232" t="s">
        <v>2073</v>
      </c>
      <c r="G232">
        <v>503</v>
      </c>
      <c r="H232" t="s">
        <v>1824</v>
      </c>
      <c r="I232" t="s">
        <v>586</v>
      </c>
      <c r="J232" t="s">
        <v>686</v>
      </c>
      <c r="K232" t="s">
        <v>1571</v>
      </c>
      <c r="L232" t="s">
        <v>493</v>
      </c>
      <c r="M232" t="s">
        <v>496</v>
      </c>
      <c r="N232" t="s">
        <v>466</v>
      </c>
      <c r="O232" t="s">
        <v>712</v>
      </c>
      <c r="P232" t="s">
        <v>586</v>
      </c>
      <c r="Q232" t="s">
        <v>309</v>
      </c>
      <c r="R232" t="s">
        <v>586</v>
      </c>
      <c r="S232" t="s">
        <v>586</v>
      </c>
      <c r="T232" t="s">
        <v>1609</v>
      </c>
      <c r="U232" t="s">
        <v>1610</v>
      </c>
      <c r="V232" t="s">
        <v>2034</v>
      </c>
      <c r="W232" t="s">
        <v>313</v>
      </c>
      <c r="X232" t="s">
        <v>313</v>
      </c>
      <c r="Y232" t="s">
        <v>313</v>
      </c>
      <c r="Z232" t="s">
        <v>313</v>
      </c>
      <c r="AA232" t="s">
        <v>1611</v>
      </c>
      <c r="AB232" t="s">
        <v>313</v>
      </c>
      <c r="AC232">
        <v>1</v>
      </c>
    </row>
    <row r="233" spans="4:29" x14ac:dyDescent="0.25">
      <c r="D233" t="s">
        <v>227</v>
      </c>
      <c r="E233" t="s">
        <v>356</v>
      </c>
      <c r="F233" t="s">
        <v>2074</v>
      </c>
      <c r="G233">
        <v>29031</v>
      </c>
      <c r="H233" t="s">
        <v>1082</v>
      </c>
      <c r="I233" t="s">
        <v>432</v>
      </c>
      <c r="J233" t="s">
        <v>616</v>
      </c>
      <c r="K233" t="s">
        <v>1518</v>
      </c>
      <c r="L233" t="s">
        <v>839</v>
      </c>
      <c r="M233" t="s">
        <v>454</v>
      </c>
      <c r="N233" t="s">
        <v>345</v>
      </c>
      <c r="O233" t="s">
        <v>647</v>
      </c>
      <c r="P233" t="s">
        <v>432</v>
      </c>
      <c r="Q233" t="s">
        <v>309</v>
      </c>
      <c r="R233" t="s">
        <v>432</v>
      </c>
      <c r="S233" t="s">
        <v>432</v>
      </c>
      <c r="T233" t="s">
        <v>1612</v>
      </c>
      <c r="U233" t="s">
        <v>1613</v>
      </c>
      <c r="V233" t="s">
        <v>964</v>
      </c>
      <c r="W233" t="s">
        <v>313</v>
      </c>
      <c r="X233" t="s">
        <v>313</v>
      </c>
      <c r="Y233" t="s">
        <v>313</v>
      </c>
      <c r="Z233" t="s">
        <v>313</v>
      </c>
      <c r="AA233" t="s">
        <v>616</v>
      </c>
      <c r="AB233" t="s">
        <v>313</v>
      </c>
      <c r="AC233">
        <v>5</v>
      </c>
    </row>
    <row r="234" spans="4:29" x14ac:dyDescent="0.25">
      <c r="D234" t="s">
        <v>228</v>
      </c>
      <c r="E234" t="s">
        <v>449</v>
      </c>
      <c r="F234" t="s">
        <v>2075</v>
      </c>
      <c r="G234">
        <v>1834</v>
      </c>
      <c r="H234" t="s">
        <v>576</v>
      </c>
      <c r="I234" t="s">
        <v>454</v>
      </c>
      <c r="J234" t="s">
        <v>1472</v>
      </c>
      <c r="K234" t="s">
        <v>2076</v>
      </c>
      <c r="L234" t="s">
        <v>309</v>
      </c>
      <c r="M234" t="s">
        <v>565</v>
      </c>
      <c r="N234" t="s">
        <v>772</v>
      </c>
      <c r="O234" t="s">
        <v>309</v>
      </c>
      <c r="P234" t="s">
        <v>454</v>
      </c>
      <c r="Q234" t="s">
        <v>309</v>
      </c>
      <c r="R234" t="s">
        <v>454</v>
      </c>
      <c r="S234" t="s">
        <v>454</v>
      </c>
      <c r="T234" t="s">
        <v>1614</v>
      </c>
      <c r="U234" t="s">
        <v>1615</v>
      </c>
      <c r="V234" t="s">
        <v>916</v>
      </c>
      <c r="W234" t="s">
        <v>313</v>
      </c>
      <c r="X234" t="s">
        <v>313</v>
      </c>
      <c r="Y234" t="s">
        <v>313</v>
      </c>
      <c r="Z234" t="s">
        <v>313</v>
      </c>
      <c r="AA234" t="s">
        <v>309</v>
      </c>
      <c r="AB234" t="s">
        <v>313</v>
      </c>
      <c r="AC234">
        <v>0</v>
      </c>
    </row>
    <row r="235" spans="4:29" x14ac:dyDescent="0.25">
      <c r="D235" t="s">
        <v>229</v>
      </c>
      <c r="E235" t="s">
        <v>301</v>
      </c>
      <c r="F235" t="s">
        <v>2077</v>
      </c>
      <c r="G235">
        <v>83</v>
      </c>
      <c r="H235" t="s">
        <v>1616</v>
      </c>
      <c r="I235" t="s">
        <v>308</v>
      </c>
      <c r="J235" t="s">
        <v>1617</v>
      </c>
      <c r="K235" t="s">
        <v>562</v>
      </c>
      <c r="L235" t="s">
        <v>1618</v>
      </c>
      <c r="M235" t="s">
        <v>597</v>
      </c>
      <c r="N235" t="s">
        <v>1123</v>
      </c>
      <c r="O235" t="s">
        <v>913</v>
      </c>
      <c r="P235" t="s">
        <v>308</v>
      </c>
      <c r="Q235" t="s">
        <v>309</v>
      </c>
      <c r="R235" t="s">
        <v>308</v>
      </c>
      <c r="S235" t="s">
        <v>308</v>
      </c>
      <c r="T235" t="s">
        <v>1619</v>
      </c>
      <c r="U235" t="s">
        <v>1620</v>
      </c>
      <c r="V235" t="s">
        <v>458</v>
      </c>
      <c r="W235" t="s">
        <v>313</v>
      </c>
      <c r="X235" t="s">
        <v>313</v>
      </c>
      <c r="Y235" t="s">
        <v>313</v>
      </c>
      <c r="Z235" t="s">
        <v>313</v>
      </c>
      <c r="AA235" t="s">
        <v>1621</v>
      </c>
      <c r="AB235" t="s">
        <v>313</v>
      </c>
      <c r="AC235">
        <v>1</v>
      </c>
    </row>
    <row r="236" spans="4:29" x14ac:dyDescent="0.25">
      <c r="D236" t="s">
        <v>230</v>
      </c>
      <c r="E236" t="s">
        <v>315</v>
      </c>
      <c r="F236" t="s">
        <v>1828</v>
      </c>
      <c r="G236">
        <v>19203</v>
      </c>
      <c r="H236" t="s">
        <v>999</v>
      </c>
      <c r="I236" t="s">
        <v>320</v>
      </c>
      <c r="J236" t="s">
        <v>309</v>
      </c>
      <c r="K236" t="s">
        <v>309</v>
      </c>
      <c r="L236" t="s">
        <v>309</v>
      </c>
      <c r="M236" t="s">
        <v>309</v>
      </c>
      <c r="N236" t="s">
        <v>309</v>
      </c>
      <c r="O236" t="s">
        <v>309</v>
      </c>
      <c r="P236" t="s">
        <v>823</v>
      </c>
      <c r="Q236" t="s">
        <v>1166</v>
      </c>
      <c r="R236" t="s">
        <v>430</v>
      </c>
      <c r="S236" t="s">
        <v>1622</v>
      </c>
      <c r="T236" t="s">
        <v>1623</v>
      </c>
      <c r="U236" t="s">
        <v>1624</v>
      </c>
      <c r="V236" t="s">
        <v>486</v>
      </c>
      <c r="W236" t="s">
        <v>313</v>
      </c>
      <c r="X236" t="s">
        <v>313</v>
      </c>
      <c r="Y236" t="s">
        <v>313</v>
      </c>
      <c r="Z236" t="s">
        <v>313</v>
      </c>
      <c r="AA236" t="s">
        <v>313</v>
      </c>
      <c r="AB236" t="s">
        <v>313</v>
      </c>
      <c r="AC236">
        <v>0</v>
      </c>
    </row>
    <row r="237" spans="4:29" x14ac:dyDescent="0.25">
      <c r="D237" t="s">
        <v>231</v>
      </c>
      <c r="E237" t="s">
        <v>315</v>
      </c>
      <c r="F237" t="s">
        <v>2078</v>
      </c>
      <c r="G237">
        <v>8550</v>
      </c>
      <c r="H237" t="s">
        <v>769</v>
      </c>
      <c r="I237" t="s">
        <v>586</v>
      </c>
      <c r="J237" t="s">
        <v>1625</v>
      </c>
      <c r="K237" t="s">
        <v>870</v>
      </c>
      <c r="L237" t="s">
        <v>309</v>
      </c>
      <c r="M237" t="s">
        <v>347</v>
      </c>
      <c r="N237" t="s">
        <v>586</v>
      </c>
      <c r="O237" t="s">
        <v>309</v>
      </c>
      <c r="P237" t="s">
        <v>1505</v>
      </c>
      <c r="Q237" t="s">
        <v>775</v>
      </c>
      <c r="R237" t="s">
        <v>429</v>
      </c>
      <c r="S237" t="s">
        <v>1626</v>
      </c>
      <c r="T237" t="s">
        <v>1627</v>
      </c>
      <c r="U237" t="s">
        <v>1628</v>
      </c>
      <c r="V237" t="s">
        <v>879</v>
      </c>
      <c r="W237" t="s">
        <v>313</v>
      </c>
      <c r="X237" t="s">
        <v>313</v>
      </c>
      <c r="Y237" t="s">
        <v>313</v>
      </c>
      <c r="Z237" t="s">
        <v>313</v>
      </c>
      <c r="AA237" t="s">
        <v>313</v>
      </c>
      <c r="AB237" t="s">
        <v>313</v>
      </c>
      <c r="AC237">
        <v>0</v>
      </c>
    </row>
    <row r="238" spans="4:29" x14ac:dyDescent="0.25">
      <c r="D238" t="s">
        <v>232</v>
      </c>
      <c r="E238" t="s">
        <v>340</v>
      </c>
      <c r="F238" t="s">
        <v>2079</v>
      </c>
      <c r="G238">
        <v>3993</v>
      </c>
      <c r="H238" t="s">
        <v>1129</v>
      </c>
      <c r="I238" t="s">
        <v>565</v>
      </c>
      <c r="J238" t="s">
        <v>463</v>
      </c>
      <c r="K238" t="s">
        <v>1629</v>
      </c>
      <c r="L238" t="s">
        <v>1630</v>
      </c>
      <c r="M238" t="s">
        <v>1631</v>
      </c>
      <c r="N238" t="s">
        <v>413</v>
      </c>
      <c r="O238" t="s">
        <v>816</v>
      </c>
      <c r="P238" t="s">
        <v>1630</v>
      </c>
      <c r="Q238" t="s">
        <v>1632</v>
      </c>
      <c r="R238" t="s">
        <v>1633</v>
      </c>
      <c r="S238" t="s">
        <v>1634</v>
      </c>
      <c r="T238" t="s">
        <v>1635</v>
      </c>
      <c r="U238" t="s">
        <v>1636</v>
      </c>
      <c r="V238" t="s">
        <v>435</v>
      </c>
      <c r="W238" t="s">
        <v>313</v>
      </c>
      <c r="X238" t="s">
        <v>313</v>
      </c>
      <c r="Y238" t="s">
        <v>313</v>
      </c>
      <c r="Z238" t="s">
        <v>313</v>
      </c>
      <c r="AA238" t="s">
        <v>309</v>
      </c>
      <c r="AB238" t="s">
        <v>313</v>
      </c>
      <c r="AC238">
        <v>1</v>
      </c>
    </row>
    <row r="239" spans="4:29" x14ac:dyDescent="0.25">
      <c r="D239" t="s">
        <v>233</v>
      </c>
      <c r="E239" t="s">
        <v>449</v>
      </c>
      <c r="F239" t="s">
        <v>313</v>
      </c>
      <c r="G239" t="s">
        <v>313</v>
      </c>
      <c r="H239" t="s">
        <v>769</v>
      </c>
      <c r="I239" t="s">
        <v>309</v>
      </c>
      <c r="J239" t="s">
        <v>309</v>
      </c>
      <c r="K239" t="s">
        <v>309</v>
      </c>
      <c r="L239" t="s">
        <v>309</v>
      </c>
      <c r="M239" t="s">
        <v>309</v>
      </c>
      <c r="N239" t="s">
        <v>309</v>
      </c>
      <c r="O239" t="s">
        <v>309</v>
      </c>
      <c r="P239" t="s">
        <v>313</v>
      </c>
      <c r="Q239" t="s">
        <v>309</v>
      </c>
      <c r="R239" t="s">
        <v>309</v>
      </c>
      <c r="S239" t="s">
        <v>309</v>
      </c>
      <c r="T239" t="s">
        <v>1637</v>
      </c>
      <c r="U239" t="s">
        <v>1638</v>
      </c>
      <c r="V239" t="s">
        <v>313</v>
      </c>
      <c r="W239" t="s">
        <v>313</v>
      </c>
      <c r="X239" t="s">
        <v>313</v>
      </c>
      <c r="Y239" t="s">
        <v>313</v>
      </c>
      <c r="Z239" t="s">
        <v>313</v>
      </c>
      <c r="AA239" t="s">
        <v>313</v>
      </c>
      <c r="AB239" t="s">
        <v>313</v>
      </c>
      <c r="AC239">
        <v>0</v>
      </c>
    </row>
    <row r="240" spans="4:29" x14ac:dyDescent="0.25">
      <c r="D240" t="s">
        <v>2080</v>
      </c>
      <c r="E240" t="s">
        <v>315</v>
      </c>
      <c r="F240" t="s">
        <v>2081</v>
      </c>
      <c r="G240">
        <v>1033</v>
      </c>
      <c r="H240" t="s">
        <v>500</v>
      </c>
      <c r="I240" t="s">
        <v>844</v>
      </c>
      <c r="J240" t="s">
        <v>309</v>
      </c>
      <c r="K240" t="s">
        <v>309</v>
      </c>
      <c r="L240" t="s">
        <v>309</v>
      </c>
      <c r="M240" t="s">
        <v>309</v>
      </c>
      <c r="N240" t="s">
        <v>309</v>
      </c>
      <c r="O240" t="s">
        <v>309</v>
      </c>
      <c r="P240" t="s">
        <v>844</v>
      </c>
      <c r="Q240" t="s">
        <v>309</v>
      </c>
      <c r="R240" t="s">
        <v>844</v>
      </c>
      <c r="S240" t="s">
        <v>844</v>
      </c>
      <c r="T240" t="s">
        <v>2082</v>
      </c>
      <c r="U240" t="s">
        <v>1212</v>
      </c>
      <c r="V240" t="s">
        <v>2083</v>
      </c>
      <c r="W240" t="s">
        <v>313</v>
      </c>
      <c r="X240" t="s">
        <v>313</v>
      </c>
      <c r="Y240" t="s">
        <v>313</v>
      </c>
      <c r="Z240" t="s">
        <v>313</v>
      </c>
      <c r="AA240" t="s">
        <v>313</v>
      </c>
      <c r="AB240" t="s">
        <v>313</v>
      </c>
      <c r="AC240">
        <v>0</v>
      </c>
    </row>
    <row r="241" spans="4:29" x14ac:dyDescent="0.25">
      <c r="D241" t="s">
        <v>234</v>
      </c>
      <c r="E241" t="s">
        <v>369</v>
      </c>
      <c r="F241" t="s">
        <v>313</v>
      </c>
      <c r="G241" t="s">
        <v>313</v>
      </c>
      <c r="H241" t="s">
        <v>630</v>
      </c>
      <c r="I241" t="s">
        <v>309</v>
      </c>
      <c r="J241" t="s">
        <v>309</v>
      </c>
      <c r="K241" t="s">
        <v>309</v>
      </c>
      <c r="L241" t="s">
        <v>309</v>
      </c>
      <c r="M241" t="s">
        <v>309</v>
      </c>
      <c r="N241" t="s">
        <v>309</v>
      </c>
      <c r="O241" t="s">
        <v>309</v>
      </c>
      <c r="P241" t="s">
        <v>313</v>
      </c>
      <c r="Q241" t="s">
        <v>309</v>
      </c>
      <c r="R241" t="s">
        <v>309</v>
      </c>
      <c r="S241" t="s">
        <v>309</v>
      </c>
      <c r="T241" t="s">
        <v>1639</v>
      </c>
      <c r="U241" t="s">
        <v>1640</v>
      </c>
      <c r="V241" t="s">
        <v>313</v>
      </c>
      <c r="W241" t="s">
        <v>313</v>
      </c>
      <c r="X241" t="s">
        <v>313</v>
      </c>
      <c r="Y241" t="s">
        <v>313</v>
      </c>
      <c r="Z241" t="s">
        <v>313</v>
      </c>
      <c r="AA241" t="s">
        <v>313</v>
      </c>
      <c r="AB241" t="s">
        <v>313</v>
      </c>
      <c r="AC241">
        <v>0</v>
      </c>
    </row>
    <row r="242" spans="4:29" x14ac:dyDescent="0.25">
      <c r="D242" t="s">
        <v>235</v>
      </c>
      <c r="E242" t="s">
        <v>340</v>
      </c>
      <c r="F242" t="s">
        <v>2084</v>
      </c>
      <c r="G242">
        <v>2252</v>
      </c>
      <c r="H242" t="s">
        <v>1471</v>
      </c>
      <c r="I242" t="s">
        <v>888</v>
      </c>
      <c r="J242" t="s">
        <v>1641</v>
      </c>
      <c r="K242" t="s">
        <v>791</v>
      </c>
      <c r="L242" t="s">
        <v>1642</v>
      </c>
      <c r="M242" t="s">
        <v>631</v>
      </c>
      <c r="N242" t="s">
        <v>606</v>
      </c>
      <c r="O242" t="s">
        <v>807</v>
      </c>
      <c r="P242" t="s">
        <v>888</v>
      </c>
      <c r="Q242" t="s">
        <v>309</v>
      </c>
      <c r="R242" t="s">
        <v>888</v>
      </c>
      <c r="S242" t="s">
        <v>888</v>
      </c>
      <c r="T242" t="s">
        <v>1643</v>
      </c>
      <c r="U242" t="s">
        <v>1644</v>
      </c>
      <c r="V242" t="s">
        <v>477</v>
      </c>
      <c r="W242" t="s">
        <v>313</v>
      </c>
      <c r="X242" t="s">
        <v>313</v>
      </c>
      <c r="Y242" t="s">
        <v>313</v>
      </c>
      <c r="Z242" t="s">
        <v>313</v>
      </c>
      <c r="AA242" t="s">
        <v>1645</v>
      </c>
      <c r="AB242" t="s">
        <v>1646</v>
      </c>
      <c r="AC242">
        <v>5</v>
      </c>
    </row>
    <row r="243" spans="4:29" x14ac:dyDescent="0.25">
      <c r="D243" t="s">
        <v>236</v>
      </c>
      <c r="E243" t="s">
        <v>449</v>
      </c>
      <c r="F243" t="s">
        <v>2085</v>
      </c>
      <c r="G243">
        <v>36961</v>
      </c>
      <c r="H243" t="s">
        <v>1379</v>
      </c>
      <c r="I243" t="s">
        <v>533</v>
      </c>
      <c r="J243" t="s">
        <v>511</v>
      </c>
      <c r="K243" t="s">
        <v>335</v>
      </c>
      <c r="L243" t="s">
        <v>1647</v>
      </c>
      <c r="M243" t="s">
        <v>844</v>
      </c>
      <c r="N243" t="s">
        <v>440</v>
      </c>
      <c r="O243" t="s">
        <v>445</v>
      </c>
      <c r="P243" t="s">
        <v>533</v>
      </c>
      <c r="Q243" t="s">
        <v>309</v>
      </c>
      <c r="R243" t="s">
        <v>533</v>
      </c>
      <c r="S243" t="s">
        <v>533</v>
      </c>
      <c r="T243" t="s">
        <v>1648</v>
      </c>
      <c r="U243" t="s">
        <v>1649</v>
      </c>
      <c r="V243" t="s">
        <v>602</v>
      </c>
      <c r="W243" t="s">
        <v>313</v>
      </c>
      <c r="X243" t="s">
        <v>313</v>
      </c>
      <c r="Y243" t="s">
        <v>313</v>
      </c>
      <c r="Z243" t="s">
        <v>313</v>
      </c>
      <c r="AA243" t="s">
        <v>313</v>
      </c>
      <c r="AB243" t="s">
        <v>313</v>
      </c>
      <c r="AC243">
        <v>0</v>
      </c>
    </row>
    <row r="244" spans="4:29" x14ac:dyDescent="0.25">
      <c r="D244" t="s">
        <v>237</v>
      </c>
      <c r="E244" t="s">
        <v>449</v>
      </c>
      <c r="F244" t="s">
        <v>2086</v>
      </c>
      <c r="G244">
        <v>85389</v>
      </c>
      <c r="H244" t="s">
        <v>540</v>
      </c>
      <c r="I244" t="s">
        <v>345</v>
      </c>
      <c r="J244" t="s">
        <v>1326</v>
      </c>
      <c r="K244" t="s">
        <v>2087</v>
      </c>
      <c r="L244" t="s">
        <v>729</v>
      </c>
      <c r="M244" t="s">
        <v>455</v>
      </c>
      <c r="N244" t="s">
        <v>844</v>
      </c>
      <c r="O244" t="s">
        <v>445</v>
      </c>
      <c r="P244" t="s">
        <v>345</v>
      </c>
      <c r="Q244" t="s">
        <v>309</v>
      </c>
      <c r="R244" t="s">
        <v>345</v>
      </c>
      <c r="S244" t="s">
        <v>345</v>
      </c>
      <c r="T244" t="s">
        <v>1650</v>
      </c>
      <c r="U244" t="s">
        <v>1651</v>
      </c>
      <c r="V244" t="s">
        <v>916</v>
      </c>
      <c r="W244" t="s">
        <v>313</v>
      </c>
      <c r="X244" t="s">
        <v>313</v>
      </c>
      <c r="Y244" t="s">
        <v>313</v>
      </c>
      <c r="Z244" t="s">
        <v>313</v>
      </c>
      <c r="AA244" t="s">
        <v>313</v>
      </c>
      <c r="AB244" t="s">
        <v>313</v>
      </c>
      <c r="AC244">
        <v>0</v>
      </c>
    </row>
    <row r="245" spans="4:29" x14ac:dyDescent="0.25">
      <c r="D245" t="s">
        <v>238</v>
      </c>
      <c r="E245" t="s">
        <v>340</v>
      </c>
      <c r="F245" t="s">
        <v>2088</v>
      </c>
      <c r="G245">
        <v>20</v>
      </c>
      <c r="H245" t="s">
        <v>561</v>
      </c>
      <c r="I245" t="s">
        <v>1041</v>
      </c>
      <c r="J245" t="s">
        <v>1258</v>
      </c>
      <c r="K245" t="s">
        <v>1522</v>
      </c>
      <c r="L245" t="s">
        <v>1267</v>
      </c>
      <c r="M245" t="s">
        <v>913</v>
      </c>
      <c r="N245" t="s">
        <v>1652</v>
      </c>
      <c r="O245" t="s">
        <v>1653</v>
      </c>
      <c r="P245" t="s">
        <v>1267</v>
      </c>
      <c r="Q245" t="s">
        <v>1654</v>
      </c>
      <c r="R245" t="s">
        <v>1655</v>
      </c>
      <c r="S245" t="s">
        <v>1656</v>
      </c>
      <c r="T245" t="s">
        <v>1657</v>
      </c>
      <c r="U245" t="s">
        <v>1658</v>
      </c>
      <c r="V245" t="s">
        <v>937</v>
      </c>
      <c r="W245" t="s">
        <v>313</v>
      </c>
      <c r="X245" t="s">
        <v>313</v>
      </c>
      <c r="Y245" t="s">
        <v>313</v>
      </c>
      <c r="Z245" t="s">
        <v>313</v>
      </c>
      <c r="AA245" t="s">
        <v>1659</v>
      </c>
      <c r="AB245" t="s">
        <v>313</v>
      </c>
      <c r="AC245">
        <v>1</v>
      </c>
    </row>
    <row r="246" spans="4:29" x14ac:dyDescent="0.25">
      <c r="D246" t="s">
        <v>239</v>
      </c>
      <c r="E246" t="s">
        <v>449</v>
      </c>
      <c r="F246" t="s">
        <v>2089</v>
      </c>
      <c r="G246">
        <v>12435</v>
      </c>
      <c r="H246" t="s">
        <v>911</v>
      </c>
      <c r="I246" t="s">
        <v>566</v>
      </c>
      <c r="J246" t="s">
        <v>546</v>
      </c>
      <c r="K246" t="s">
        <v>771</v>
      </c>
      <c r="L246" t="s">
        <v>1660</v>
      </c>
      <c r="M246" t="s">
        <v>345</v>
      </c>
      <c r="N246" t="s">
        <v>342</v>
      </c>
      <c r="O246" t="s">
        <v>647</v>
      </c>
      <c r="P246" t="s">
        <v>566</v>
      </c>
      <c r="Q246" t="s">
        <v>309</v>
      </c>
      <c r="R246" t="s">
        <v>566</v>
      </c>
      <c r="S246" t="s">
        <v>566</v>
      </c>
      <c r="T246" t="s">
        <v>1661</v>
      </c>
      <c r="U246" t="s">
        <v>1662</v>
      </c>
      <c r="V246" t="s">
        <v>499</v>
      </c>
      <c r="W246" t="s">
        <v>313</v>
      </c>
      <c r="X246" t="s">
        <v>313</v>
      </c>
      <c r="Y246" t="s">
        <v>313</v>
      </c>
      <c r="Z246" t="s">
        <v>313</v>
      </c>
      <c r="AA246" t="s">
        <v>309</v>
      </c>
      <c r="AB246" t="s">
        <v>313</v>
      </c>
      <c r="AC246">
        <v>44</v>
      </c>
    </row>
    <row r="247" spans="4:29" x14ac:dyDescent="0.25">
      <c r="D247" t="s">
        <v>240</v>
      </c>
      <c r="E247" t="s">
        <v>449</v>
      </c>
      <c r="F247" t="s">
        <v>2090</v>
      </c>
      <c r="G247">
        <v>32481</v>
      </c>
      <c r="H247" t="s">
        <v>1663</v>
      </c>
      <c r="I247" t="s">
        <v>1130</v>
      </c>
      <c r="J247" t="s">
        <v>1664</v>
      </c>
      <c r="K247" t="s">
        <v>1665</v>
      </c>
      <c r="L247" t="s">
        <v>1666</v>
      </c>
      <c r="M247" t="s">
        <v>1427</v>
      </c>
      <c r="N247" t="s">
        <v>1427</v>
      </c>
      <c r="O247" t="s">
        <v>391</v>
      </c>
      <c r="P247" t="s">
        <v>1130</v>
      </c>
      <c r="Q247" t="s">
        <v>309</v>
      </c>
      <c r="R247" t="s">
        <v>1130</v>
      </c>
      <c r="S247" t="s">
        <v>1130</v>
      </c>
      <c r="T247" t="s">
        <v>1667</v>
      </c>
      <c r="U247" t="s">
        <v>1668</v>
      </c>
      <c r="V247" t="s">
        <v>2091</v>
      </c>
      <c r="W247" t="s">
        <v>313</v>
      </c>
      <c r="X247" t="s">
        <v>313</v>
      </c>
      <c r="Y247" t="s">
        <v>313</v>
      </c>
      <c r="Z247" t="s">
        <v>313</v>
      </c>
      <c r="AA247" t="s">
        <v>313</v>
      </c>
      <c r="AB247" t="s">
        <v>313</v>
      </c>
      <c r="AC247">
        <v>0</v>
      </c>
    </row>
    <row r="248" spans="4:29" x14ac:dyDescent="0.25">
      <c r="D248" t="s">
        <v>241</v>
      </c>
      <c r="E248" t="s">
        <v>315</v>
      </c>
      <c r="F248" t="s">
        <v>1803</v>
      </c>
      <c r="G248">
        <v>15921</v>
      </c>
      <c r="H248" t="s">
        <v>478</v>
      </c>
      <c r="I248" t="s">
        <v>317</v>
      </c>
      <c r="J248" t="s">
        <v>1669</v>
      </c>
      <c r="K248" t="s">
        <v>1670</v>
      </c>
      <c r="L248" t="s">
        <v>1671</v>
      </c>
      <c r="M248" t="s">
        <v>1135</v>
      </c>
      <c r="N248" t="s">
        <v>778</v>
      </c>
      <c r="O248" t="s">
        <v>554</v>
      </c>
      <c r="P248" t="s">
        <v>317</v>
      </c>
      <c r="Q248" t="s">
        <v>309</v>
      </c>
      <c r="R248" t="s">
        <v>317</v>
      </c>
      <c r="S248" t="s">
        <v>317</v>
      </c>
      <c r="T248" t="s">
        <v>1672</v>
      </c>
      <c r="U248" t="s">
        <v>1673</v>
      </c>
      <c r="V248" t="s">
        <v>486</v>
      </c>
      <c r="W248" t="s">
        <v>313</v>
      </c>
      <c r="X248" t="s">
        <v>313</v>
      </c>
      <c r="Y248" t="s">
        <v>313</v>
      </c>
      <c r="Z248" t="s">
        <v>313</v>
      </c>
      <c r="AA248" t="s">
        <v>313</v>
      </c>
      <c r="AB248" t="s">
        <v>313</v>
      </c>
      <c r="AC248">
        <v>0</v>
      </c>
    </row>
    <row r="249" spans="4:29" x14ac:dyDescent="0.25">
      <c r="D249" t="s">
        <v>242</v>
      </c>
      <c r="E249" t="s">
        <v>1079</v>
      </c>
      <c r="F249" t="s">
        <v>1976</v>
      </c>
      <c r="G249">
        <v>1244</v>
      </c>
      <c r="H249" t="s">
        <v>1362</v>
      </c>
      <c r="I249" t="s">
        <v>565</v>
      </c>
      <c r="J249" t="s">
        <v>1674</v>
      </c>
      <c r="K249" t="s">
        <v>1675</v>
      </c>
      <c r="L249" t="s">
        <v>309</v>
      </c>
      <c r="M249" t="s">
        <v>371</v>
      </c>
      <c r="N249" t="s">
        <v>766</v>
      </c>
      <c r="O249" t="s">
        <v>309</v>
      </c>
      <c r="P249" t="s">
        <v>565</v>
      </c>
      <c r="Q249" t="s">
        <v>309</v>
      </c>
      <c r="R249" t="s">
        <v>565</v>
      </c>
      <c r="S249" t="s">
        <v>565</v>
      </c>
      <c r="T249" t="s">
        <v>1676</v>
      </c>
      <c r="U249" t="s">
        <v>1677</v>
      </c>
      <c r="V249" t="s">
        <v>701</v>
      </c>
      <c r="W249" t="s">
        <v>313</v>
      </c>
      <c r="X249" t="s">
        <v>313</v>
      </c>
      <c r="Y249" t="s">
        <v>313</v>
      </c>
      <c r="Z249" t="s">
        <v>313</v>
      </c>
      <c r="AA249" t="s">
        <v>313</v>
      </c>
      <c r="AB249" t="s">
        <v>313</v>
      </c>
      <c r="AC249">
        <v>0</v>
      </c>
    </row>
    <row r="250" spans="4:29" x14ac:dyDescent="0.25">
      <c r="D250" t="s">
        <v>243</v>
      </c>
      <c r="E250" t="s">
        <v>315</v>
      </c>
      <c r="F250" t="s">
        <v>2092</v>
      </c>
      <c r="G250">
        <v>217435</v>
      </c>
      <c r="H250" t="s">
        <v>1678</v>
      </c>
      <c r="I250" t="s">
        <v>391</v>
      </c>
      <c r="J250" t="s">
        <v>945</v>
      </c>
      <c r="K250" t="s">
        <v>1679</v>
      </c>
      <c r="L250" t="s">
        <v>309</v>
      </c>
      <c r="M250" t="s">
        <v>1680</v>
      </c>
      <c r="N250" t="s">
        <v>1681</v>
      </c>
      <c r="O250" t="s">
        <v>309</v>
      </c>
      <c r="P250" t="s">
        <v>391</v>
      </c>
      <c r="Q250" t="s">
        <v>309</v>
      </c>
      <c r="R250" t="s">
        <v>391</v>
      </c>
      <c r="S250" t="s">
        <v>391</v>
      </c>
      <c r="T250" t="s">
        <v>1682</v>
      </c>
      <c r="U250" t="s">
        <v>1683</v>
      </c>
      <c r="V250" t="s">
        <v>405</v>
      </c>
      <c r="W250" t="s">
        <v>313</v>
      </c>
      <c r="X250" t="s">
        <v>313</v>
      </c>
      <c r="Y250" t="s">
        <v>313</v>
      </c>
      <c r="Z250" t="s">
        <v>313</v>
      </c>
      <c r="AA250" t="s">
        <v>313</v>
      </c>
      <c r="AB250" t="s">
        <v>313</v>
      </c>
      <c r="AC250">
        <v>0</v>
      </c>
    </row>
    <row r="251" spans="4:29" x14ac:dyDescent="0.25">
      <c r="D251" t="s">
        <v>244</v>
      </c>
      <c r="E251" t="s">
        <v>449</v>
      </c>
      <c r="F251" t="s">
        <v>2093</v>
      </c>
      <c r="G251">
        <v>40539</v>
      </c>
      <c r="H251" t="s">
        <v>1684</v>
      </c>
      <c r="I251" t="s">
        <v>674</v>
      </c>
      <c r="J251" t="s">
        <v>1685</v>
      </c>
      <c r="K251" t="s">
        <v>1214</v>
      </c>
      <c r="L251" t="s">
        <v>1686</v>
      </c>
      <c r="M251" t="s">
        <v>1681</v>
      </c>
      <c r="N251" t="s">
        <v>686</v>
      </c>
      <c r="O251" t="s">
        <v>428</v>
      </c>
      <c r="P251" t="s">
        <v>1686</v>
      </c>
      <c r="Q251" t="s">
        <v>1687</v>
      </c>
      <c r="R251" t="s">
        <v>1688</v>
      </c>
      <c r="S251" t="s">
        <v>1072</v>
      </c>
      <c r="T251" t="s">
        <v>1689</v>
      </c>
      <c r="U251" t="s">
        <v>1690</v>
      </c>
      <c r="V251" t="s">
        <v>405</v>
      </c>
      <c r="W251" t="s">
        <v>313</v>
      </c>
      <c r="X251" t="s">
        <v>313</v>
      </c>
      <c r="Y251" t="s">
        <v>313</v>
      </c>
      <c r="Z251" t="s">
        <v>313</v>
      </c>
      <c r="AA251" t="s">
        <v>313</v>
      </c>
      <c r="AB251" t="s">
        <v>313</v>
      </c>
      <c r="AC251">
        <v>0</v>
      </c>
    </row>
    <row r="252" spans="4:29" x14ac:dyDescent="0.25">
      <c r="D252" t="s">
        <v>245</v>
      </c>
      <c r="E252" t="s">
        <v>315</v>
      </c>
      <c r="F252" t="s">
        <v>2094</v>
      </c>
      <c r="G252">
        <v>23177</v>
      </c>
      <c r="H252" t="s">
        <v>407</v>
      </c>
      <c r="I252" t="s">
        <v>1000</v>
      </c>
      <c r="J252" t="s">
        <v>1720</v>
      </c>
      <c r="K252" t="s">
        <v>2095</v>
      </c>
      <c r="L252" t="s">
        <v>2096</v>
      </c>
      <c r="M252" t="s">
        <v>533</v>
      </c>
      <c r="N252" t="s">
        <v>527</v>
      </c>
      <c r="O252" t="s">
        <v>465</v>
      </c>
      <c r="P252" t="s">
        <v>1000</v>
      </c>
      <c r="Q252" t="s">
        <v>309</v>
      </c>
      <c r="R252" t="s">
        <v>1000</v>
      </c>
      <c r="S252" t="s">
        <v>1000</v>
      </c>
      <c r="T252" t="s">
        <v>1691</v>
      </c>
      <c r="U252" t="s">
        <v>1548</v>
      </c>
      <c r="V252" t="s">
        <v>672</v>
      </c>
      <c r="W252" t="s">
        <v>313</v>
      </c>
      <c r="X252" t="s">
        <v>313</v>
      </c>
      <c r="Y252" t="s">
        <v>313</v>
      </c>
      <c r="Z252" t="s">
        <v>313</v>
      </c>
      <c r="AA252" t="s">
        <v>313</v>
      </c>
      <c r="AB252" t="s">
        <v>313</v>
      </c>
      <c r="AC252">
        <v>0</v>
      </c>
    </row>
    <row r="253" spans="4:29" x14ac:dyDescent="0.25">
      <c r="D253" t="s">
        <v>246</v>
      </c>
      <c r="E253" t="s">
        <v>315</v>
      </c>
      <c r="F253" t="s">
        <v>2097</v>
      </c>
      <c r="G253">
        <v>4418</v>
      </c>
      <c r="H253" t="s">
        <v>1692</v>
      </c>
      <c r="I253" t="s">
        <v>766</v>
      </c>
      <c r="J253" t="s">
        <v>1693</v>
      </c>
      <c r="K253" t="s">
        <v>649</v>
      </c>
      <c r="L253" t="s">
        <v>1694</v>
      </c>
      <c r="M253" t="s">
        <v>766</v>
      </c>
      <c r="N253" t="s">
        <v>772</v>
      </c>
      <c r="O253" t="s">
        <v>307</v>
      </c>
      <c r="P253" t="s">
        <v>766</v>
      </c>
      <c r="Q253" t="s">
        <v>309</v>
      </c>
      <c r="R253" t="s">
        <v>766</v>
      </c>
      <c r="S253" t="s">
        <v>766</v>
      </c>
      <c r="T253" t="s">
        <v>1695</v>
      </c>
      <c r="U253" t="s">
        <v>1696</v>
      </c>
      <c r="V253" t="s">
        <v>435</v>
      </c>
      <c r="W253" t="s">
        <v>313</v>
      </c>
      <c r="X253" t="s">
        <v>313</v>
      </c>
      <c r="Y253" t="s">
        <v>313</v>
      </c>
      <c r="Z253" t="s">
        <v>313</v>
      </c>
      <c r="AA253" t="s">
        <v>313</v>
      </c>
      <c r="AB253" t="s">
        <v>313</v>
      </c>
      <c r="AC253">
        <v>0</v>
      </c>
    </row>
    <row r="254" spans="4:29" x14ac:dyDescent="0.25">
      <c r="D254" t="s">
        <v>247</v>
      </c>
      <c r="E254" t="s">
        <v>356</v>
      </c>
      <c r="F254" t="s">
        <v>2098</v>
      </c>
      <c r="G254">
        <v>23997</v>
      </c>
      <c r="H254" t="s">
        <v>800</v>
      </c>
      <c r="I254" t="s">
        <v>631</v>
      </c>
      <c r="J254" t="s">
        <v>1224</v>
      </c>
      <c r="K254" t="s">
        <v>1177</v>
      </c>
      <c r="L254" t="s">
        <v>1697</v>
      </c>
      <c r="M254" t="s">
        <v>635</v>
      </c>
      <c r="N254" t="s">
        <v>358</v>
      </c>
      <c r="O254" t="s">
        <v>495</v>
      </c>
      <c r="P254" t="s">
        <v>631</v>
      </c>
      <c r="Q254" t="s">
        <v>309</v>
      </c>
      <c r="R254" t="s">
        <v>631</v>
      </c>
      <c r="S254" t="s">
        <v>631</v>
      </c>
      <c r="T254" t="s">
        <v>1698</v>
      </c>
      <c r="U254" t="s">
        <v>1699</v>
      </c>
      <c r="V254" t="s">
        <v>545</v>
      </c>
      <c r="W254" t="s">
        <v>313</v>
      </c>
      <c r="X254" t="s">
        <v>313</v>
      </c>
      <c r="Y254" t="s">
        <v>313</v>
      </c>
      <c r="Z254" t="s">
        <v>313</v>
      </c>
      <c r="AA254" t="s">
        <v>309</v>
      </c>
      <c r="AB254" t="s">
        <v>313</v>
      </c>
      <c r="AC254">
        <v>16</v>
      </c>
    </row>
    <row r="255" spans="4:29" x14ac:dyDescent="0.25">
      <c r="D255" t="s">
        <v>248</v>
      </c>
      <c r="E255" t="s">
        <v>340</v>
      </c>
      <c r="F255" t="s">
        <v>2099</v>
      </c>
      <c r="G255">
        <v>50984</v>
      </c>
      <c r="H255" t="s">
        <v>1700</v>
      </c>
      <c r="I255" t="s">
        <v>549</v>
      </c>
      <c r="J255" t="s">
        <v>1701</v>
      </c>
      <c r="K255" t="s">
        <v>920</v>
      </c>
      <c r="L255" t="s">
        <v>1702</v>
      </c>
      <c r="M255" t="s">
        <v>772</v>
      </c>
      <c r="N255" t="s">
        <v>958</v>
      </c>
      <c r="O255" t="s">
        <v>345</v>
      </c>
      <c r="P255" t="s">
        <v>549</v>
      </c>
      <c r="Q255" t="s">
        <v>309</v>
      </c>
      <c r="R255" t="s">
        <v>549</v>
      </c>
      <c r="S255" t="s">
        <v>549</v>
      </c>
      <c r="T255" t="s">
        <v>1703</v>
      </c>
      <c r="U255" t="s">
        <v>1704</v>
      </c>
      <c r="V255" t="s">
        <v>1313</v>
      </c>
      <c r="W255" t="s">
        <v>313</v>
      </c>
      <c r="X255" t="s">
        <v>313</v>
      </c>
      <c r="Y255" t="s">
        <v>313</v>
      </c>
      <c r="Z255" t="s">
        <v>313</v>
      </c>
      <c r="AA255" t="s">
        <v>1213</v>
      </c>
      <c r="AB255" t="s">
        <v>313</v>
      </c>
      <c r="AC255">
        <v>9</v>
      </c>
    </row>
    <row r="256" spans="4:29" x14ac:dyDescent="0.25">
      <c r="D256" t="s">
        <v>249</v>
      </c>
      <c r="E256" t="s">
        <v>301</v>
      </c>
      <c r="F256" t="s">
        <v>1895</v>
      </c>
      <c r="G256">
        <v>14716</v>
      </c>
      <c r="H256" t="s">
        <v>1705</v>
      </c>
      <c r="I256" t="s">
        <v>631</v>
      </c>
      <c r="J256" t="s">
        <v>460</v>
      </c>
      <c r="K256" t="s">
        <v>1087</v>
      </c>
      <c r="L256" t="s">
        <v>1706</v>
      </c>
      <c r="M256" t="s">
        <v>465</v>
      </c>
      <c r="N256" t="s">
        <v>888</v>
      </c>
      <c r="O256" t="s">
        <v>597</v>
      </c>
      <c r="P256" t="s">
        <v>631</v>
      </c>
      <c r="Q256" t="s">
        <v>309</v>
      </c>
      <c r="R256" t="s">
        <v>631</v>
      </c>
      <c r="S256" t="s">
        <v>631</v>
      </c>
      <c r="T256" t="s">
        <v>1707</v>
      </c>
      <c r="U256" t="s">
        <v>1708</v>
      </c>
      <c r="V256" t="s">
        <v>435</v>
      </c>
      <c r="W256" t="s">
        <v>313</v>
      </c>
      <c r="X256" t="s">
        <v>313</v>
      </c>
      <c r="Y256" t="s">
        <v>313</v>
      </c>
      <c r="Z256" t="s">
        <v>313</v>
      </c>
      <c r="AA256" t="s">
        <v>1709</v>
      </c>
      <c r="AB256" t="s">
        <v>313</v>
      </c>
      <c r="AC256">
        <v>15</v>
      </c>
    </row>
    <row r="257" spans="4:29" x14ac:dyDescent="0.25">
      <c r="D257" t="s">
        <v>250</v>
      </c>
      <c r="E257" t="s">
        <v>315</v>
      </c>
      <c r="F257" t="s">
        <v>2100</v>
      </c>
      <c r="G257">
        <v>4239</v>
      </c>
      <c r="H257" t="s">
        <v>800</v>
      </c>
      <c r="I257" t="s">
        <v>401</v>
      </c>
      <c r="J257" t="s">
        <v>1710</v>
      </c>
      <c r="K257" t="s">
        <v>563</v>
      </c>
      <c r="L257" t="s">
        <v>309</v>
      </c>
      <c r="M257" t="s">
        <v>401</v>
      </c>
      <c r="N257" t="s">
        <v>565</v>
      </c>
      <c r="O257" t="s">
        <v>309</v>
      </c>
      <c r="P257" t="s">
        <v>401</v>
      </c>
      <c r="Q257" t="s">
        <v>309</v>
      </c>
      <c r="R257" t="s">
        <v>401</v>
      </c>
      <c r="S257" t="s">
        <v>401</v>
      </c>
      <c r="T257" t="s">
        <v>1711</v>
      </c>
      <c r="U257" t="s">
        <v>1712</v>
      </c>
      <c r="V257" t="s">
        <v>425</v>
      </c>
      <c r="W257" t="s">
        <v>313</v>
      </c>
      <c r="X257" t="s">
        <v>313</v>
      </c>
      <c r="Y257" t="s">
        <v>313</v>
      </c>
      <c r="Z257" t="s">
        <v>313</v>
      </c>
      <c r="AA257" t="s">
        <v>309</v>
      </c>
      <c r="AB257" t="s">
        <v>313</v>
      </c>
      <c r="AC257">
        <v>6</v>
      </c>
    </row>
    <row r="258" spans="4:29" x14ac:dyDescent="0.25">
      <c r="D258" t="s">
        <v>251</v>
      </c>
      <c r="E258" t="s">
        <v>369</v>
      </c>
      <c r="F258" t="s">
        <v>313</v>
      </c>
      <c r="G258" t="s">
        <v>313</v>
      </c>
      <c r="H258" t="s">
        <v>1356</v>
      </c>
      <c r="I258" t="s">
        <v>309</v>
      </c>
      <c r="J258" t="s">
        <v>309</v>
      </c>
      <c r="K258" t="s">
        <v>309</v>
      </c>
      <c r="L258" t="s">
        <v>309</v>
      </c>
      <c r="M258" t="s">
        <v>309</v>
      </c>
      <c r="N258" t="s">
        <v>309</v>
      </c>
      <c r="O258" t="s">
        <v>309</v>
      </c>
      <c r="P258" t="s">
        <v>313</v>
      </c>
      <c r="Q258" t="s">
        <v>309</v>
      </c>
      <c r="R258" t="s">
        <v>309</v>
      </c>
      <c r="S258" t="s">
        <v>309</v>
      </c>
      <c r="T258" t="s">
        <v>1713</v>
      </c>
      <c r="U258" t="s">
        <v>1714</v>
      </c>
      <c r="V258" t="s">
        <v>313</v>
      </c>
      <c r="W258" t="s">
        <v>313</v>
      </c>
      <c r="X258" t="s">
        <v>313</v>
      </c>
      <c r="Y258" t="s">
        <v>313</v>
      </c>
      <c r="Z258" t="s">
        <v>313</v>
      </c>
      <c r="AA258" t="s">
        <v>313</v>
      </c>
      <c r="AB258" t="s">
        <v>313</v>
      </c>
      <c r="AC258">
        <v>0</v>
      </c>
    </row>
    <row r="259" spans="4:29" x14ac:dyDescent="0.25">
      <c r="D259" t="s">
        <v>252</v>
      </c>
      <c r="E259" t="s">
        <v>340</v>
      </c>
      <c r="F259" t="s">
        <v>2101</v>
      </c>
      <c r="G259">
        <v>3594</v>
      </c>
      <c r="H259" t="s">
        <v>742</v>
      </c>
      <c r="I259" t="s">
        <v>1041</v>
      </c>
      <c r="J259" t="s">
        <v>1715</v>
      </c>
      <c r="K259" t="s">
        <v>1046</v>
      </c>
      <c r="L259" t="s">
        <v>1716</v>
      </c>
      <c r="M259" t="s">
        <v>362</v>
      </c>
      <c r="N259" t="s">
        <v>491</v>
      </c>
      <c r="O259" t="s">
        <v>1389</v>
      </c>
      <c r="P259" t="s">
        <v>1041</v>
      </c>
      <c r="Q259" t="s">
        <v>309</v>
      </c>
      <c r="R259" t="s">
        <v>1041</v>
      </c>
      <c r="S259" t="s">
        <v>1041</v>
      </c>
      <c r="T259" t="s">
        <v>1717</v>
      </c>
      <c r="U259" t="s">
        <v>1718</v>
      </c>
      <c r="V259" t="s">
        <v>734</v>
      </c>
      <c r="W259" t="s">
        <v>313</v>
      </c>
      <c r="X259" t="s">
        <v>313</v>
      </c>
      <c r="Y259" t="s">
        <v>313</v>
      </c>
      <c r="Z259" t="s">
        <v>313</v>
      </c>
      <c r="AA259" t="s">
        <v>309</v>
      </c>
      <c r="AB259" t="s">
        <v>313</v>
      </c>
      <c r="AC259">
        <v>1</v>
      </c>
    </row>
    <row r="260" spans="4:29" x14ac:dyDescent="0.25">
      <c r="D260" t="s">
        <v>253</v>
      </c>
      <c r="E260" t="s">
        <v>315</v>
      </c>
      <c r="F260" t="s">
        <v>1827</v>
      </c>
      <c r="G260">
        <v>1</v>
      </c>
      <c r="H260" t="s">
        <v>1719</v>
      </c>
      <c r="I260" t="s">
        <v>408</v>
      </c>
      <c r="J260" t="s">
        <v>1720</v>
      </c>
      <c r="K260" t="s">
        <v>1395</v>
      </c>
      <c r="L260" t="s">
        <v>839</v>
      </c>
      <c r="M260" t="s">
        <v>533</v>
      </c>
      <c r="N260" t="s">
        <v>527</v>
      </c>
      <c r="O260" t="s">
        <v>647</v>
      </c>
      <c r="P260" t="s">
        <v>408</v>
      </c>
      <c r="Q260" t="s">
        <v>309</v>
      </c>
      <c r="R260" t="s">
        <v>408</v>
      </c>
      <c r="S260" t="s">
        <v>408</v>
      </c>
      <c r="T260" t="s">
        <v>1721</v>
      </c>
      <c r="U260" t="s">
        <v>1722</v>
      </c>
      <c r="V260" t="s">
        <v>545</v>
      </c>
      <c r="W260" t="s">
        <v>313</v>
      </c>
      <c r="X260" t="s">
        <v>313</v>
      </c>
      <c r="Y260" t="s">
        <v>313</v>
      </c>
      <c r="Z260" t="s">
        <v>313</v>
      </c>
      <c r="AA260" t="s">
        <v>313</v>
      </c>
      <c r="AB260" t="s">
        <v>313</v>
      </c>
      <c r="AC260">
        <v>0</v>
      </c>
    </row>
    <row r="261" spans="4:29" x14ac:dyDescent="0.25">
      <c r="D261" t="s">
        <v>254</v>
      </c>
      <c r="E261" t="s">
        <v>315</v>
      </c>
      <c r="F261" t="s">
        <v>2102</v>
      </c>
      <c r="G261">
        <v>19467</v>
      </c>
      <c r="H261" t="s">
        <v>1723</v>
      </c>
      <c r="I261" t="s">
        <v>412</v>
      </c>
      <c r="J261" t="s">
        <v>1288</v>
      </c>
      <c r="K261" t="s">
        <v>1724</v>
      </c>
      <c r="L261" t="s">
        <v>1725</v>
      </c>
      <c r="M261" t="s">
        <v>412</v>
      </c>
      <c r="N261" t="s">
        <v>402</v>
      </c>
      <c r="O261" t="s">
        <v>329</v>
      </c>
      <c r="P261" t="s">
        <v>412</v>
      </c>
      <c r="Q261" t="s">
        <v>309</v>
      </c>
      <c r="R261" t="s">
        <v>412</v>
      </c>
      <c r="S261" t="s">
        <v>412</v>
      </c>
      <c r="T261" t="s">
        <v>1726</v>
      </c>
      <c r="U261" t="s">
        <v>1727</v>
      </c>
      <c r="V261" t="s">
        <v>876</v>
      </c>
      <c r="W261" t="s">
        <v>313</v>
      </c>
      <c r="X261" t="s">
        <v>313</v>
      </c>
      <c r="Y261" t="s">
        <v>313</v>
      </c>
      <c r="Z261" t="s">
        <v>313</v>
      </c>
      <c r="AA261" t="s">
        <v>313</v>
      </c>
      <c r="AB261" t="s">
        <v>313</v>
      </c>
      <c r="AC261">
        <v>0</v>
      </c>
    </row>
    <row r="262" spans="4:29" x14ac:dyDescent="0.25">
      <c r="D262" t="s">
        <v>255</v>
      </c>
      <c r="E262" t="s">
        <v>301</v>
      </c>
      <c r="F262" t="s">
        <v>1802</v>
      </c>
      <c r="G262">
        <v>110</v>
      </c>
      <c r="H262" t="s">
        <v>1728</v>
      </c>
      <c r="I262" t="s">
        <v>347</v>
      </c>
      <c r="J262" t="s">
        <v>1625</v>
      </c>
      <c r="K262" t="s">
        <v>1729</v>
      </c>
      <c r="L262" t="s">
        <v>1629</v>
      </c>
      <c r="M262" t="s">
        <v>347</v>
      </c>
      <c r="N262" t="s">
        <v>307</v>
      </c>
      <c r="O262" t="s">
        <v>514</v>
      </c>
      <c r="P262" t="s">
        <v>347</v>
      </c>
      <c r="Q262" t="s">
        <v>309</v>
      </c>
      <c r="R262" t="s">
        <v>347</v>
      </c>
      <c r="S262" t="s">
        <v>347</v>
      </c>
      <c r="T262" t="s">
        <v>1730</v>
      </c>
      <c r="U262" t="s">
        <v>1731</v>
      </c>
      <c r="V262" t="s">
        <v>745</v>
      </c>
      <c r="W262" t="s">
        <v>313</v>
      </c>
      <c r="X262" t="s">
        <v>313</v>
      </c>
      <c r="Y262" t="s">
        <v>313</v>
      </c>
      <c r="Z262" t="s">
        <v>313</v>
      </c>
      <c r="AA262" t="s">
        <v>1732</v>
      </c>
      <c r="AB262" t="s">
        <v>313</v>
      </c>
      <c r="AC262">
        <v>3</v>
      </c>
    </row>
    <row r="263" spans="4:29" x14ac:dyDescent="0.25">
      <c r="D263" t="s">
        <v>256</v>
      </c>
      <c r="E263" t="s">
        <v>449</v>
      </c>
      <c r="F263" t="s">
        <v>2103</v>
      </c>
      <c r="G263">
        <v>217464</v>
      </c>
      <c r="H263" t="s">
        <v>1587</v>
      </c>
      <c r="I263" t="s">
        <v>479</v>
      </c>
      <c r="J263" t="s">
        <v>1368</v>
      </c>
      <c r="K263" t="s">
        <v>2104</v>
      </c>
      <c r="L263" t="s">
        <v>309</v>
      </c>
      <c r="M263" t="s">
        <v>413</v>
      </c>
      <c r="N263" t="s">
        <v>380</v>
      </c>
      <c r="O263" t="s">
        <v>309</v>
      </c>
      <c r="P263" t="s">
        <v>479</v>
      </c>
      <c r="Q263" t="s">
        <v>309</v>
      </c>
      <c r="R263" t="s">
        <v>479</v>
      </c>
      <c r="S263" t="s">
        <v>479</v>
      </c>
      <c r="T263" t="s">
        <v>1733</v>
      </c>
      <c r="U263" t="s">
        <v>1734</v>
      </c>
      <c r="V263" t="s">
        <v>499</v>
      </c>
      <c r="W263" t="s">
        <v>313</v>
      </c>
      <c r="X263" t="s">
        <v>313</v>
      </c>
      <c r="Y263" t="s">
        <v>313</v>
      </c>
      <c r="Z263" t="s">
        <v>313</v>
      </c>
      <c r="AA263" t="s">
        <v>313</v>
      </c>
      <c r="AB263" t="s">
        <v>313</v>
      </c>
      <c r="AC263">
        <v>0</v>
      </c>
    </row>
    <row r="264" spans="4:29" x14ac:dyDescent="0.25">
      <c r="D264" t="s">
        <v>257</v>
      </c>
      <c r="E264" t="s">
        <v>356</v>
      </c>
      <c r="F264" t="s">
        <v>2105</v>
      </c>
      <c r="G264">
        <v>4738</v>
      </c>
      <c r="H264" t="s">
        <v>357</v>
      </c>
      <c r="I264" t="s">
        <v>342</v>
      </c>
      <c r="J264" t="s">
        <v>1023</v>
      </c>
      <c r="K264" t="s">
        <v>1735</v>
      </c>
      <c r="L264" t="s">
        <v>1736</v>
      </c>
      <c r="M264" t="s">
        <v>342</v>
      </c>
      <c r="N264" t="s">
        <v>307</v>
      </c>
      <c r="O264" t="s">
        <v>647</v>
      </c>
      <c r="P264" t="s">
        <v>1736</v>
      </c>
      <c r="Q264" t="s">
        <v>1267</v>
      </c>
      <c r="R264" t="s">
        <v>1737</v>
      </c>
      <c r="S264" t="s">
        <v>1738</v>
      </c>
      <c r="T264" t="s">
        <v>1739</v>
      </c>
      <c r="U264" t="s">
        <v>787</v>
      </c>
      <c r="V264" t="s">
        <v>602</v>
      </c>
      <c r="W264" t="s">
        <v>313</v>
      </c>
      <c r="X264" t="s">
        <v>313</v>
      </c>
      <c r="Y264" t="s">
        <v>313</v>
      </c>
      <c r="Z264" t="s">
        <v>313</v>
      </c>
      <c r="AA264" t="s">
        <v>309</v>
      </c>
      <c r="AB264" t="s">
        <v>309</v>
      </c>
      <c r="AC264">
        <v>1</v>
      </c>
    </row>
    <row r="265" spans="4:29" x14ac:dyDescent="0.25">
      <c r="D265" t="s">
        <v>258</v>
      </c>
      <c r="E265" t="s">
        <v>369</v>
      </c>
      <c r="F265" t="s">
        <v>2106</v>
      </c>
      <c r="G265">
        <v>1237</v>
      </c>
      <c r="H265" t="s">
        <v>1169</v>
      </c>
      <c r="I265" t="s">
        <v>549</v>
      </c>
      <c r="J265" t="s">
        <v>638</v>
      </c>
      <c r="K265" t="s">
        <v>1685</v>
      </c>
      <c r="L265" t="s">
        <v>1263</v>
      </c>
      <c r="M265" t="s">
        <v>400</v>
      </c>
      <c r="N265" t="s">
        <v>400</v>
      </c>
      <c r="O265" t="s">
        <v>586</v>
      </c>
      <c r="P265" t="s">
        <v>1263</v>
      </c>
      <c r="Q265" t="s">
        <v>309</v>
      </c>
      <c r="R265" t="s">
        <v>549</v>
      </c>
      <c r="S265" t="s">
        <v>399</v>
      </c>
      <c r="T265" t="s">
        <v>1740</v>
      </c>
      <c r="U265" t="s">
        <v>1741</v>
      </c>
      <c r="V265" t="s">
        <v>1313</v>
      </c>
      <c r="W265" t="s">
        <v>313</v>
      </c>
      <c r="X265" t="s">
        <v>313</v>
      </c>
      <c r="Y265" t="s">
        <v>313</v>
      </c>
      <c r="Z265" t="s">
        <v>313</v>
      </c>
      <c r="AA265" t="s">
        <v>309</v>
      </c>
      <c r="AB265" t="s">
        <v>313</v>
      </c>
      <c r="AC265">
        <v>6</v>
      </c>
    </row>
    <row r="266" spans="4:29" x14ac:dyDescent="0.25">
      <c r="D266" t="s">
        <v>259</v>
      </c>
      <c r="E266" t="s">
        <v>449</v>
      </c>
      <c r="F266" t="s">
        <v>1742</v>
      </c>
      <c r="G266">
        <v>1</v>
      </c>
      <c r="H266" t="s">
        <v>1743</v>
      </c>
      <c r="I266" t="s">
        <v>313</v>
      </c>
      <c r="J266" t="s">
        <v>313</v>
      </c>
      <c r="K266" t="s">
        <v>313</v>
      </c>
      <c r="L266" t="s">
        <v>313</v>
      </c>
      <c r="M266" t="s">
        <v>313</v>
      </c>
      <c r="N266" t="s">
        <v>313</v>
      </c>
      <c r="O266" t="s">
        <v>313</v>
      </c>
      <c r="P266" t="s">
        <v>313</v>
      </c>
      <c r="Q266" t="s">
        <v>313</v>
      </c>
      <c r="R266" t="s">
        <v>313</v>
      </c>
      <c r="S266" t="s">
        <v>313</v>
      </c>
      <c r="T266" t="s">
        <v>1744</v>
      </c>
      <c r="U266" t="s">
        <v>1745</v>
      </c>
      <c r="V266" t="s">
        <v>1746</v>
      </c>
      <c r="W266" t="s">
        <v>313</v>
      </c>
      <c r="X266" t="s">
        <v>313</v>
      </c>
      <c r="Y266" t="s">
        <v>313</v>
      </c>
      <c r="Z266" t="s">
        <v>313</v>
      </c>
      <c r="AA266" t="s">
        <v>313</v>
      </c>
      <c r="AB266" t="s">
        <v>313</v>
      </c>
      <c r="AC266">
        <v>0</v>
      </c>
    </row>
    <row r="267" spans="4:29" x14ac:dyDescent="0.25">
      <c r="D267" t="s">
        <v>260</v>
      </c>
      <c r="E267" t="s">
        <v>301</v>
      </c>
      <c r="F267" t="s">
        <v>2107</v>
      </c>
      <c r="G267">
        <v>63</v>
      </c>
      <c r="H267" t="s">
        <v>658</v>
      </c>
      <c r="I267" t="s">
        <v>711</v>
      </c>
      <c r="J267" t="s">
        <v>1747</v>
      </c>
      <c r="K267" t="s">
        <v>577</v>
      </c>
      <c r="L267" t="s">
        <v>309</v>
      </c>
      <c r="M267" t="s">
        <v>1389</v>
      </c>
      <c r="N267" t="s">
        <v>466</v>
      </c>
      <c r="O267" t="s">
        <v>309</v>
      </c>
      <c r="P267" t="s">
        <v>711</v>
      </c>
      <c r="Q267" t="s">
        <v>309</v>
      </c>
      <c r="R267" t="s">
        <v>711</v>
      </c>
      <c r="S267" t="s">
        <v>711</v>
      </c>
      <c r="T267" t="s">
        <v>1748</v>
      </c>
      <c r="U267" t="s">
        <v>1749</v>
      </c>
      <c r="V267" t="s">
        <v>2108</v>
      </c>
      <c r="W267" t="s">
        <v>313</v>
      </c>
      <c r="X267" t="s">
        <v>313</v>
      </c>
      <c r="Y267" t="s">
        <v>313</v>
      </c>
      <c r="Z267" t="s">
        <v>313</v>
      </c>
      <c r="AA267" t="s">
        <v>1750</v>
      </c>
      <c r="AB267" t="s">
        <v>313</v>
      </c>
      <c r="AC267">
        <v>1</v>
      </c>
    </row>
    <row r="268" spans="4:29" x14ac:dyDescent="0.25">
      <c r="D268" t="s">
        <v>261</v>
      </c>
      <c r="E268" t="s">
        <v>369</v>
      </c>
      <c r="F268" t="s">
        <v>1829</v>
      </c>
      <c r="G268">
        <v>1</v>
      </c>
      <c r="H268" t="s">
        <v>490</v>
      </c>
      <c r="I268" t="s">
        <v>844</v>
      </c>
      <c r="J268" t="s">
        <v>1701</v>
      </c>
      <c r="K268" t="s">
        <v>1429</v>
      </c>
      <c r="L268" t="s">
        <v>824</v>
      </c>
      <c r="M268" t="s">
        <v>772</v>
      </c>
      <c r="N268" t="s">
        <v>400</v>
      </c>
      <c r="O268" t="s">
        <v>596</v>
      </c>
      <c r="P268" t="s">
        <v>1751</v>
      </c>
      <c r="Q268" t="s">
        <v>1752</v>
      </c>
      <c r="R268" t="s">
        <v>1753</v>
      </c>
      <c r="S268" t="s">
        <v>1754</v>
      </c>
      <c r="T268" t="s">
        <v>1755</v>
      </c>
      <c r="U268" t="s">
        <v>1756</v>
      </c>
      <c r="V268" t="s">
        <v>1757</v>
      </c>
      <c r="W268" t="s">
        <v>313</v>
      </c>
      <c r="X268" t="s">
        <v>313</v>
      </c>
      <c r="Y268" t="s">
        <v>313</v>
      </c>
      <c r="Z268" t="s">
        <v>313</v>
      </c>
      <c r="AA268" t="s">
        <v>313</v>
      </c>
      <c r="AB268" t="s">
        <v>313</v>
      </c>
      <c r="AC268">
        <v>0</v>
      </c>
    </row>
    <row r="269" spans="4:29" x14ac:dyDescent="0.25">
      <c r="D269" t="s">
        <v>262</v>
      </c>
      <c r="E269" t="s">
        <v>315</v>
      </c>
      <c r="F269" t="s">
        <v>2109</v>
      </c>
      <c r="G269">
        <v>59918</v>
      </c>
      <c r="H269" t="s">
        <v>500</v>
      </c>
      <c r="I269" t="s">
        <v>303</v>
      </c>
      <c r="J269" t="s">
        <v>309</v>
      </c>
      <c r="K269" t="s">
        <v>309</v>
      </c>
      <c r="L269" t="s">
        <v>309</v>
      </c>
      <c r="M269" t="s">
        <v>309</v>
      </c>
      <c r="N269" t="s">
        <v>309</v>
      </c>
      <c r="O269" t="s">
        <v>309</v>
      </c>
      <c r="P269" t="s">
        <v>303</v>
      </c>
      <c r="Q269" t="s">
        <v>309</v>
      </c>
      <c r="R269" t="s">
        <v>303</v>
      </c>
      <c r="S269" t="s">
        <v>303</v>
      </c>
      <c r="T269" t="s">
        <v>1758</v>
      </c>
      <c r="U269" t="s">
        <v>1759</v>
      </c>
      <c r="V269" t="s">
        <v>642</v>
      </c>
      <c r="W269" t="s">
        <v>313</v>
      </c>
      <c r="X269" t="s">
        <v>313</v>
      </c>
      <c r="Y269" t="s">
        <v>313</v>
      </c>
      <c r="Z269" t="s">
        <v>313</v>
      </c>
      <c r="AA269" t="s">
        <v>313</v>
      </c>
      <c r="AB269" t="s">
        <v>313</v>
      </c>
      <c r="AC269">
        <v>0</v>
      </c>
    </row>
    <row r="270" spans="4:29" x14ac:dyDescent="0.25">
      <c r="D270" t="s">
        <v>263</v>
      </c>
      <c r="E270" t="s">
        <v>449</v>
      </c>
      <c r="F270" t="s">
        <v>2110</v>
      </c>
      <c r="G270">
        <v>20127</v>
      </c>
      <c r="H270" t="s">
        <v>407</v>
      </c>
      <c r="I270" t="s">
        <v>479</v>
      </c>
      <c r="J270" t="s">
        <v>720</v>
      </c>
      <c r="K270" t="s">
        <v>797</v>
      </c>
      <c r="L270" t="s">
        <v>1191</v>
      </c>
      <c r="M270" t="s">
        <v>408</v>
      </c>
      <c r="N270" t="s">
        <v>844</v>
      </c>
      <c r="O270" t="s">
        <v>825</v>
      </c>
      <c r="P270" t="s">
        <v>479</v>
      </c>
      <c r="Q270" t="s">
        <v>309</v>
      </c>
      <c r="R270" t="s">
        <v>479</v>
      </c>
      <c r="S270" t="s">
        <v>479</v>
      </c>
      <c r="T270" t="s">
        <v>1760</v>
      </c>
      <c r="U270" t="s">
        <v>1761</v>
      </c>
      <c r="V270" t="s">
        <v>507</v>
      </c>
      <c r="W270" t="s">
        <v>313</v>
      </c>
      <c r="X270" t="s">
        <v>313</v>
      </c>
      <c r="Y270" t="s">
        <v>313</v>
      </c>
      <c r="Z270" t="s">
        <v>313</v>
      </c>
      <c r="AA270" t="s">
        <v>313</v>
      </c>
      <c r="AB270" t="s">
        <v>313</v>
      </c>
      <c r="AC270">
        <v>0</v>
      </c>
    </row>
    <row r="271" spans="4:29" x14ac:dyDescent="0.25">
      <c r="D271" t="s">
        <v>264</v>
      </c>
      <c r="E271" t="s">
        <v>340</v>
      </c>
      <c r="F271" t="s">
        <v>2111</v>
      </c>
      <c r="G271">
        <v>3982</v>
      </c>
      <c r="H271" t="s">
        <v>1762</v>
      </c>
      <c r="I271" t="s">
        <v>342</v>
      </c>
      <c r="J271" t="s">
        <v>1763</v>
      </c>
      <c r="K271" t="s">
        <v>1073</v>
      </c>
      <c r="L271" t="s">
        <v>1764</v>
      </c>
      <c r="M271" t="s">
        <v>474</v>
      </c>
      <c r="N271" t="s">
        <v>566</v>
      </c>
      <c r="O271" t="s">
        <v>345</v>
      </c>
      <c r="P271" t="s">
        <v>342</v>
      </c>
      <c r="Q271" t="s">
        <v>309</v>
      </c>
      <c r="R271" t="s">
        <v>342</v>
      </c>
      <c r="S271" t="s">
        <v>342</v>
      </c>
      <c r="T271" t="s">
        <v>1765</v>
      </c>
      <c r="U271" t="s">
        <v>1766</v>
      </c>
      <c r="V271" t="s">
        <v>1767</v>
      </c>
      <c r="W271" t="s">
        <v>313</v>
      </c>
      <c r="X271" t="s">
        <v>313</v>
      </c>
      <c r="Y271" t="s">
        <v>313</v>
      </c>
      <c r="Z271" t="s">
        <v>313</v>
      </c>
      <c r="AA271" t="s">
        <v>866</v>
      </c>
      <c r="AB271" t="s">
        <v>313</v>
      </c>
      <c r="AC271">
        <v>1</v>
      </c>
    </row>
    <row r="272" spans="4:29" x14ac:dyDescent="0.25">
      <c r="D272" t="s">
        <v>265</v>
      </c>
      <c r="E272" t="s">
        <v>1122</v>
      </c>
      <c r="F272" t="s">
        <v>311</v>
      </c>
      <c r="G272">
        <v>948</v>
      </c>
      <c r="H272" t="s">
        <v>1700</v>
      </c>
      <c r="I272" t="s">
        <v>913</v>
      </c>
      <c r="J272" t="s">
        <v>408</v>
      </c>
      <c r="K272" t="s">
        <v>638</v>
      </c>
      <c r="L272" t="s">
        <v>309</v>
      </c>
      <c r="M272" t="s">
        <v>711</v>
      </c>
      <c r="N272" t="s">
        <v>399</v>
      </c>
      <c r="O272" t="s">
        <v>309</v>
      </c>
      <c r="P272" t="s">
        <v>408</v>
      </c>
      <c r="Q272" t="s">
        <v>1768</v>
      </c>
      <c r="R272" t="s">
        <v>1769</v>
      </c>
      <c r="S272" t="s">
        <v>1770</v>
      </c>
      <c r="T272" t="s">
        <v>1771</v>
      </c>
      <c r="U272" t="s">
        <v>1772</v>
      </c>
      <c r="V272" t="s">
        <v>405</v>
      </c>
      <c r="W272" t="s">
        <v>313</v>
      </c>
      <c r="X272" t="s">
        <v>313</v>
      </c>
      <c r="Y272" t="s">
        <v>313</v>
      </c>
      <c r="Z272" t="s">
        <v>313</v>
      </c>
      <c r="AA272" t="s">
        <v>1773</v>
      </c>
      <c r="AB272" t="s">
        <v>313</v>
      </c>
      <c r="AC272">
        <v>5</v>
      </c>
    </row>
    <row r="273" spans="4:29" x14ac:dyDescent="0.25">
      <c r="D273" t="s">
        <v>266</v>
      </c>
      <c r="E273" t="s">
        <v>449</v>
      </c>
      <c r="F273" t="s">
        <v>1907</v>
      </c>
      <c r="G273">
        <v>8132</v>
      </c>
      <c r="H273" t="s">
        <v>576</v>
      </c>
      <c r="I273" t="s">
        <v>400</v>
      </c>
      <c r="J273" t="s">
        <v>1535</v>
      </c>
      <c r="K273" t="s">
        <v>2112</v>
      </c>
      <c r="L273" t="s">
        <v>1091</v>
      </c>
      <c r="M273" t="s">
        <v>465</v>
      </c>
      <c r="N273" t="s">
        <v>465</v>
      </c>
      <c r="O273" t="s">
        <v>358</v>
      </c>
      <c r="P273" t="s">
        <v>400</v>
      </c>
      <c r="Q273" t="s">
        <v>309</v>
      </c>
      <c r="R273" t="s">
        <v>400</v>
      </c>
      <c r="S273" t="s">
        <v>400</v>
      </c>
      <c r="T273" t="s">
        <v>1774</v>
      </c>
      <c r="U273" t="s">
        <v>1775</v>
      </c>
      <c r="V273" t="s">
        <v>1044</v>
      </c>
      <c r="W273" t="s">
        <v>313</v>
      </c>
      <c r="X273" t="s">
        <v>313</v>
      </c>
      <c r="Y273" t="s">
        <v>313</v>
      </c>
      <c r="Z273" t="s">
        <v>313</v>
      </c>
      <c r="AA273" t="s">
        <v>1776</v>
      </c>
      <c r="AB273" t="s">
        <v>661</v>
      </c>
      <c r="AC273">
        <v>5</v>
      </c>
    </row>
    <row r="274" spans="4:29" x14ac:dyDescent="0.25">
      <c r="D274" t="s">
        <v>267</v>
      </c>
      <c r="E274" t="s">
        <v>356</v>
      </c>
      <c r="F274" t="s">
        <v>2113</v>
      </c>
      <c r="G274">
        <v>29922</v>
      </c>
      <c r="H274" t="s">
        <v>469</v>
      </c>
      <c r="I274" t="s">
        <v>358</v>
      </c>
      <c r="J274" t="s">
        <v>933</v>
      </c>
      <c r="K274" t="s">
        <v>1157</v>
      </c>
      <c r="L274" t="s">
        <v>1777</v>
      </c>
      <c r="M274" t="s">
        <v>549</v>
      </c>
      <c r="N274" t="s">
        <v>888</v>
      </c>
      <c r="O274" t="s">
        <v>570</v>
      </c>
      <c r="P274" t="s">
        <v>358</v>
      </c>
      <c r="Q274" t="s">
        <v>309</v>
      </c>
      <c r="R274" t="s">
        <v>358</v>
      </c>
      <c r="S274" t="s">
        <v>358</v>
      </c>
      <c r="T274" t="s">
        <v>1831</v>
      </c>
      <c r="U274" t="s">
        <v>1832</v>
      </c>
      <c r="V274" t="s">
        <v>602</v>
      </c>
      <c r="W274" t="s">
        <v>313</v>
      </c>
      <c r="X274" t="s">
        <v>313</v>
      </c>
      <c r="Y274" t="s">
        <v>313</v>
      </c>
      <c r="Z274" t="s">
        <v>313</v>
      </c>
      <c r="AA274" t="s">
        <v>1778</v>
      </c>
      <c r="AB274" t="s">
        <v>1004</v>
      </c>
      <c r="AC274">
        <v>13</v>
      </c>
    </row>
    <row r="275" spans="4:29" x14ac:dyDescent="0.25">
      <c r="D275" t="s">
        <v>268</v>
      </c>
      <c r="E275" t="s">
        <v>301</v>
      </c>
      <c r="F275" t="s">
        <v>2114</v>
      </c>
      <c r="G275">
        <v>35114</v>
      </c>
      <c r="H275" t="s">
        <v>1511</v>
      </c>
      <c r="I275" t="s">
        <v>371</v>
      </c>
      <c r="J275" t="s">
        <v>599</v>
      </c>
      <c r="K275" t="s">
        <v>1779</v>
      </c>
      <c r="L275" t="s">
        <v>1780</v>
      </c>
      <c r="M275" t="s">
        <v>606</v>
      </c>
      <c r="N275" t="s">
        <v>361</v>
      </c>
      <c r="O275" t="s">
        <v>749</v>
      </c>
      <c r="P275" t="s">
        <v>1780</v>
      </c>
      <c r="Q275" t="s">
        <v>1781</v>
      </c>
      <c r="R275" t="s">
        <v>1472</v>
      </c>
      <c r="S275" t="s">
        <v>1782</v>
      </c>
      <c r="T275" t="s">
        <v>1783</v>
      </c>
      <c r="U275" t="s">
        <v>1784</v>
      </c>
      <c r="V275" t="s">
        <v>828</v>
      </c>
      <c r="W275" t="s">
        <v>313</v>
      </c>
      <c r="X275" t="s">
        <v>313</v>
      </c>
      <c r="Y275" t="s">
        <v>313</v>
      </c>
      <c r="Z275" t="s">
        <v>313</v>
      </c>
      <c r="AA275" t="s">
        <v>1785</v>
      </c>
      <c r="AB275" t="s">
        <v>313</v>
      </c>
      <c r="AC275">
        <v>13</v>
      </c>
    </row>
    <row r="276" spans="4:29" x14ac:dyDescent="0.25">
      <c r="D276" t="s">
        <v>269</v>
      </c>
      <c r="E276" t="s">
        <v>449</v>
      </c>
      <c r="F276" t="s">
        <v>2115</v>
      </c>
      <c r="G276">
        <v>17657</v>
      </c>
      <c r="H276" t="s">
        <v>1095</v>
      </c>
      <c r="I276" t="s">
        <v>465</v>
      </c>
      <c r="J276" t="s">
        <v>1786</v>
      </c>
      <c r="K276" t="s">
        <v>1787</v>
      </c>
      <c r="L276" t="s">
        <v>1788</v>
      </c>
      <c r="M276" t="s">
        <v>455</v>
      </c>
      <c r="N276" t="s">
        <v>455</v>
      </c>
      <c r="O276" t="s">
        <v>307</v>
      </c>
      <c r="P276" t="s">
        <v>465</v>
      </c>
      <c r="Q276" t="s">
        <v>309</v>
      </c>
      <c r="R276" t="s">
        <v>465</v>
      </c>
      <c r="S276" t="s">
        <v>465</v>
      </c>
      <c r="T276" t="s">
        <v>1789</v>
      </c>
      <c r="U276" t="s">
        <v>1790</v>
      </c>
      <c r="V276" t="s">
        <v>745</v>
      </c>
      <c r="W276" t="s">
        <v>313</v>
      </c>
      <c r="X276" t="s">
        <v>313</v>
      </c>
      <c r="Y276" t="s">
        <v>313</v>
      </c>
      <c r="Z276" t="s">
        <v>313</v>
      </c>
      <c r="AA276" t="s">
        <v>1463</v>
      </c>
      <c r="AB276" t="s">
        <v>313</v>
      </c>
      <c r="AC276">
        <v>4</v>
      </c>
    </row>
    <row r="277" spans="4:29" x14ac:dyDescent="0.25">
      <c r="D277" t="s">
        <v>270</v>
      </c>
      <c r="E277" t="s">
        <v>449</v>
      </c>
      <c r="F277" t="s">
        <v>2116</v>
      </c>
      <c r="G277">
        <v>8631</v>
      </c>
      <c r="H277" t="s">
        <v>769</v>
      </c>
      <c r="I277" t="s">
        <v>455</v>
      </c>
      <c r="J277" t="s">
        <v>790</v>
      </c>
      <c r="K277" t="s">
        <v>1791</v>
      </c>
      <c r="L277" t="s">
        <v>1517</v>
      </c>
      <c r="M277" t="s">
        <v>432</v>
      </c>
      <c r="N277" t="s">
        <v>454</v>
      </c>
      <c r="O277" t="s">
        <v>345</v>
      </c>
      <c r="P277" t="s">
        <v>455</v>
      </c>
      <c r="Q277" t="s">
        <v>309</v>
      </c>
      <c r="R277" t="s">
        <v>455</v>
      </c>
      <c r="S277" t="s">
        <v>455</v>
      </c>
      <c r="T277" t="s">
        <v>1792</v>
      </c>
      <c r="U277" t="s">
        <v>1793</v>
      </c>
      <c r="V277" t="s">
        <v>602</v>
      </c>
      <c r="W277" t="s">
        <v>313</v>
      </c>
      <c r="X277" t="s">
        <v>313</v>
      </c>
      <c r="Y277" t="s">
        <v>313</v>
      </c>
      <c r="Z277" t="s">
        <v>313</v>
      </c>
      <c r="AA277" t="s">
        <v>313</v>
      </c>
      <c r="AB277" t="s">
        <v>313</v>
      </c>
      <c r="AC277">
        <v>0</v>
      </c>
    </row>
    <row r="278" spans="4:29" x14ac:dyDescent="0.25">
      <c r="D278" t="s">
        <v>271</v>
      </c>
      <c r="E278" t="s">
        <v>340</v>
      </c>
      <c r="F278" t="s">
        <v>1833</v>
      </c>
      <c r="G278">
        <v>713</v>
      </c>
      <c r="H278" t="s">
        <v>351</v>
      </c>
      <c r="I278" t="s">
        <v>309</v>
      </c>
      <c r="J278" t="s">
        <v>309</v>
      </c>
      <c r="K278" t="s">
        <v>309</v>
      </c>
      <c r="L278" t="s">
        <v>309</v>
      </c>
      <c r="M278" t="s">
        <v>309</v>
      </c>
      <c r="N278" t="s">
        <v>309</v>
      </c>
      <c r="O278" t="s">
        <v>309</v>
      </c>
      <c r="P278" t="s">
        <v>309</v>
      </c>
      <c r="Q278" t="s">
        <v>402</v>
      </c>
      <c r="R278" t="s">
        <v>402</v>
      </c>
      <c r="S278" t="s">
        <v>1794</v>
      </c>
      <c r="T278" t="s">
        <v>1795</v>
      </c>
      <c r="U278" t="s">
        <v>1796</v>
      </c>
      <c r="V278" t="s">
        <v>1220</v>
      </c>
      <c r="W278" t="s">
        <v>313</v>
      </c>
      <c r="X278" t="s">
        <v>313</v>
      </c>
      <c r="Y278" t="s">
        <v>313</v>
      </c>
      <c r="Z278" t="s">
        <v>313</v>
      </c>
      <c r="AA278" t="s">
        <v>309</v>
      </c>
      <c r="AB278" t="s">
        <v>866</v>
      </c>
      <c r="AC278">
        <v>1</v>
      </c>
    </row>
    <row r="279" spans="4:29" x14ac:dyDescent="0.25">
      <c r="D279" t="s">
        <v>272</v>
      </c>
      <c r="E279" t="s">
        <v>1079</v>
      </c>
      <c r="F279" t="s">
        <v>313</v>
      </c>
      <c r="G279" t="s">
        <v>313</v>
      </c>
      <c r="H279" t="s">
        <v>461</v>
      </c>
      <c r="I279" t="s">
        <v>309</v>
      </c>
      <c r="J279" t="s">
        <v>309</v>
      </c>
      <c r="K279" t="s">
        <v>309</v>
      </c>
      <c r="L279" t="s">
        <v>309</v>
      </c>
      <c r="M279" t="s">
        <v>309</v>
      </c>
      <c r="N279" t="s">
        <v>309</v>
      </c>
      <c r="O279" t="s">
        <v>309</v>
      </c>
      <c r="P279" t="s">
        <v>313</v>
      </c>
      <c r="Q279" t="s">
        <v>309</v>
      </c>
      <c r="R279" t="s">
        <v>309</v>
      </c>
      <c r="S279" t="s">
        <v>309</v>
      </c>
      <c r="T279" t="s">
        <v>1797</v>
      </c>
      <c r="U279" t="s">
        <v>1798</v>
      </c>
      <c r="V279" t="s">
        <v>313</v>
      </c>
      <c r="W279" t="s">
        <v>313</v>
      </c>
      <c r="X279" t="s">
        <v>313</v>
      </c>
      <c r="Y279" t="s">
        <v>313</v>
      </c>
      <c r="Z279" t="s">
        <v>313</v>
      </c>
      <c r="AA279" t="s">
        <v>313</v>
      </c>
      <c r="AB279" t="s">
        <v>313</v>
      </c>
      <c r="AC279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Inicial</vt:lpstr>
      <vt:lpstr>Raw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Barbaro de Oliveira</dc:creator>
  <cp:lastModifiedBy>Gustavo Barbaro de Oliveira</cp:lastModifiedBy>
  <dcterms:created xsi:type="dcterms:W3CDTF">2022-02-04T18:44:22Z</dcterms:created>
  <dcterms:modified xsi:type="dcterms:W3CDTF">2022-02-08T19:58:42Z</dcterms:modified>
</cp:coreProperties>
</file>